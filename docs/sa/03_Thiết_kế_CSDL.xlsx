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bảng" sheetId="1" state="visible" r:id="rId1"/>
    <sheet xmlns:r="http://schemas.openxmlformats.org/officeDocument/2006/relationships" name="Lịch sử sửa đổi" sheetId="2" state="visible" r:id="rId2"/>
    <sheet xmlns:r="http://schemas.openxmlformats.org/officeDocument/2006/relationships" name="admins" sheetId="3" state="visible" r:id="rId3"/>
    <sheet xmlns:r="http://schemas.openxmlformats.org/officeDocument/2006/relationships" name="companies_vn" sheetId="4" state="visible" r:id="rId4"/>
    <sheet xmlns:r="http://schemas.openxmlformats.org/officeDocument/2006/relationships" name="suppliers_jp" sheetId="5" state="visible" r:id="rId5"/>
    <sheet xmlns:r="http://schemas.openxmlformats.org/officeDocument/2006/relationships" name="product_categories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warehouses" sheetId="8" state="visible" r:id="rId8"/>
    <sheet xmlns:r="http://schemas.openxmlformats.org/officeDocument/2006/relationships" name="inventories" sheetId="9" state="visible" r:id="rId9"/>
    <sheet xmlns:r="http://schemas.openxmlformats.org/officeDocument/2006/relationships" name="orders" sheetId="10" state="visible" r:id="rId10"/>
    <sheet xmlns:r="http://schemas.openxmlformats.org/officeDocument/2006/relationships" name="order_details" sheetId="11" state="visible" r:id="rId11"/>
    <sheet xmlns:r="http://schemas.openxmlformats.org/officeDocument/2006/relationships" name="exchange_rates" sheetId="12" state="visible" r:id="rId12"/>
    <sheet xmlns:r="http://schemas.openxmlformats.org/officeDocument/2006/relationships" name="import_declarations" sheetId="13" state="visible" r:id="rId13"/>
    <sheet xmlns:r="http://schemas.openxmlformats.org/officeDocument/2006/relationships" name="mail_templates" sheetId="14" state="visible" r:id="rId14"/>
    <sheet xmlns:r="http://schemas.openxmlformats.org/officeDocument/2006/relationships" name="mail_histori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name val="Courier New"/>
      <sz val="10"/>
    </font>
    <font>
      <b val="1"/>
      <color rgb="00FFFFFF"/>
      <sz val="12"/>
    </font>
    <font>
      <b val="1"/>
      <sz val="10"/>
    </font>
    <font>
      <b val="1"/>
      <color rgb="00000000"/>
      <sz val="11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40" customWidth="1" min="4" max="4"/>
  </cols>
  <sheetData>
    <row r="1" ht="30" customHeight="1">
      <c r="A1" s="1" t="inlineStr">
        <is>
          <t>DANH SÁCH BẢNG - HỆ THỐNG QUẢN LÝ HÀNG HÓA NHẬT-VIỆT</t>
        </is>
      </c>
    </row>
    <row r="2">
      <c r="A2" s="2" t="inlineStr">
        <is>
          <t>No</t>
        </is>
      </c>
      <c r="B2" s="2" t="inlineStr">
        <is>
          <t>Tên bảng (Tiếng Việt)</t>
        </is>
      </c>
      <c r="C2" s="2" t="inlineStr">
        <is>
          <t>Tên bảng vật lý</t>
        </is>
      </c>
      <c r="D2" s="2" t="inlineStr">
        <is>
          <t>Ghi chú</t>
        </is>
      </c>
    </row>
    <row r="3">
      <c r="A3" s="3" t="n">
        <v>1</v>
      </c>
      <c r="B3" s="4" t="inlineStr">
        <is>
          <t>Quản trị viên</t>
        </is>
      </c>
      <c r="C3" s="5" t="inlineStr">
        <is>
          <t>admins</t>
        </is>
      </c>
      <c r="D3" s="4" t="inlineStr">
        <is>
          <t>Thông tin đăng nhập phía quản trị</t>
        </is>
      </c>
    </row>
    <row r="4">
      <c r="A4" s="3" t="n">
        <v>2</v>
      </c>
      <c r="B4" s="4" t="inlineStr">
        <is>
          <t>Chi nhánh quản lý</t>
        </is>
      </c>
      <c r="C4" s="5" t="inlineStr">
        <is>
          <t>branches</t>
        </is>
      </c>
      <c r="D4" s="4" t="inlineStr"/>
    </row>
    <row r="5">
      <c r="A5" s="3" t="n">
        <v>3</v>
      </c>
      <c r="B5" s="4" t="inlineStr">
        <is>
          <t>Công ty Việt Nam</t>
        </is>
      </c>
      <c r="C5" s="5" t="inlineStr">
        <is>
          <t>companies_vn</t>
        </is>
      </c>
      <c r="D5" s="4" t="inlineStr">
        <is>
          <t>Khách hàng phía Việt Nam</t>
        </is>
      </c>
    </row>
    <row r="6">
      <c r="A6" s="3" t="n">
        <v>4</v>
      </c>
      <c r="B6" s="4" t="inlineStr">
        <is>
          <t>Nhà cung cấp Nhật Bản</t>
        </is>
      </c>
      <c r="C6" s="5" t="inlineStr">
        <is>
          <t>suppliers_jp</t>
        </is>
      </c>
      <c r="D6" s="4" t="inlineStr">
        <is>
          <t>Nhà cung cấp phía Nhật Bản</t>
        </is>
      </c>
    </row>
    <row r="7">
      <c r="A7" s="3" t="n">
        <v>5</v>
      </c>
      <c r="B7" s="4" t="inlineStr">
        <is>
          <t>Danh mục hàng hóa</t>
        </is>
      </c>
      <c r="C7" s="5" t="inlineStr">
        <is>
          <t>product_categories</t>
        </is>
      </c>
      <c r="D7" s="4" t="inlineStr"/>
    </row>
    <row r="8">
      <c r="A8" s="3" t="n">
        <v>6</v>
      </c>
      <c r="B8" s="4" t="inlineStr">
        <is>
          <t>Hàng hóa</t>
        </is>
      </c>
      <c r="C8" s="5" t="inlineStr">
        <is>
          <t>products</t>
        </is>
      </c>
      <c r="D8" s="4" t="inlineStr"/>
    </row>
    <row r="9">
      <c r="A9" s="3" t="n">
        <v>7</v>
      </c>
      <c r="B9" s="4" t="inlineStr">
        <is>
          <t>Kho hàng</t>
        </is>
      </c>
      <c r="C9" s="5" t="inlineStr">
        <is>
          <t>warehouses</t>
        </is>
      </c>
      <c r="D9" s="4" t="inlineStr"/>
    </row>
    <row r="10">
      <c r="A10" s="3" t="n">
        <v>8</v>
      </c>
      <c r="B10" s="4" t="inlineStr">
        <is>
          <t>Tồn kho</t>
        </is>
      </c>
      <c r="C10" s="5" t="inlineStr">
        <is>
          <t>inventories</t>
        </is>
      </c>
      <c r="D10" s="4" t="inlineStr"/>
    </row>
    <row r="11">
      <c r="A11" s="3" t="n">
        <v>9</v>
      </c>
      <c r="B11" s="4" t="inlineStr">
        <is>
          <t>Đơn hàng</t>
        </is>
      </c>
      <c r="C11" s="5" t="inlineStr">
        <is>
          <t>orders</t>
        </is>
      </c>
      <c r="D11" s="4" t="inlineStr"/>
    </row>
    <row r="12">
      <c r="A12" s="3" t="n">
        <v>10</v>
      </c>
      <c r="B12" s="4" t="inlineStr">
        <is>
          <t>Chi tiết đơn hàng</t>
        </is>
      </c>
      <c r="C12" s="5" t="inlineStr">
        <is>
          <t>order_details</t>
        </is>
      </c>
      <c r="D12" s="4" t="inlineStr"/>
    </row>
    <row r="13">
      <c r="A13" s="3" t="n">
        <v>11</v>
      </c>
      <c r="B13" s="4" t="inlineStr">
        <is>
          <t>Lịch sử đơn hàng</t>
        </is>
      </c>
      <c r="C13" s="5" t="inlineStr">
        <is>
          <t>order_histories</t>
        </is>
      </c>
      <c r="D13" s="4" t="inlineStr"/>
    </row>
    <row r="14">
      <c r="A14" s="3" t="n">
        <v>12</v>
      </c>
      <c r="B14" s="4" t="inlineStr">
        <is>
          <t>Chi tiết lịch sử đơn hàng</t>
        </is>
      </c>
      <c r="C14" s="5" t="inlineStr">
        <is>
          <t>order_history_details</t>
        </is>
      </c>
      <c r="D14" s="4" t="inlineStr"/>
    </row>
    <row r="15">
      <c r="A15" s="3" t="n">
        <v>13</v>
      </c>
      <c r="B15" s="4" t="inlineStr">
        <is>
          <t>Xuất hàng</t>
        </is>
      </c>
      <c r="C15" s="5" t="inlineStr">
        <is>
          <t>shipments</t>
        </is>
      </c>
      <c r="D15" s="4" t="inlineStr"/>
    </row>
    <row r="16">
      <c r="A16" s="3" t="n">
        <v>14</v>
      </c>
      <c r="B16" s="4" t="inlineStr">
        <is>
          <t>Chi tiết xuất hàng</t>
        </is>
      </c>
      <c r="C16" s="5" t="inlineStr">
        <is>
          <t>shipment_details</t>
        </is>
      </c>
      <c r="D16" s="4" t="inlineStr"/>
    </row>
    <row r="17">
      <c r="A17" s="3" t="n">
        <v>15</v>
      </c>
      <c r="B17" s="4" t="inlineStr">
        <is>
          <t>Hóa đơn</t>
        </is>
      </c>
      <c r="C17" s="5" t="inlineStr">
        <is>
          <t>invoices</t>
        </is>
      </c>
      <c r="D17" s="4" t="inlineStr"/>
    </row>
    <row r="18">
      <c r="A18" s="3" t="n">
        <v>16</v>
      </c>
      <c r="B18" s="4" t="inlineStr">
        <is>
          <t>Chi tiết hóa đơn</t>
        </is>
      </c>
      <c r="C18" s="5" t="inlineStr">
        <is>
          <t>invoice_details</t>
        </is>
      </c>
      <c r="D18" s="4" t="inlineStr"/>
    </row>
    <row r="19">
      <c r="A19" s="3" t="n">
        <v>17</v>
      </c>
      <c r="B19" s="4" t="inlineStr">
        <is>
          <t>Tỷ giá tiền tệ</t>
        </is>
      </c>
      <c r="C19" s="5" t="inlineStr">
        <is>
          <t>exchange_rates</t>
        </is>
      </c>
      <c r="D19" s="4" t="inlineStr">
        <is>
          <t>JPY/VND</t>
        </is>
      </c>
    </row>
    <row r="20">
      <c r="A20" s="3" t="n">
        <v>18</v>
      </c>
      <c r="B20" s="4" t="inlineStr">
        <is>
          <t>Khai báo nhập khẩu</t>
        </is>
      </c>
      <c r="C20" s="5" t="inlineStr">
        <is>
          <t>import_declarations</t>
        </is>
      </c>
      <c r="D20" s="4" t="inlineStr"/>
    </row>
    <row r="21">
      <c r="A21" s="3" t="n">
        <v>19</v>
      </c>
      <c r="B21" s="4" t="inlineStr">
        <is>
          <t>Mẫu email</t>
        </is>
      </c>
      <c r="C21" s="5" t="inlineStr">
        <is>
          <t>mail_templates</t>
        </is>
      </c>
      <c r="D21" s="4" t="inlineStr"/>
    </row>
    <row r="22">
      <c r="A22" s="3" t="n">
        <v>20</v>
      </c>
      <c r="B22" s="4" t="inlineStr">
        <is>
          <t>Lịch sử gửi email</t>
        </is>
      </c>
      <c r="C22" s="5" t="inlineStr">
        <is>
          <t>mail_histories</t>
        </is>
      </c>
      <c r="D22" s="4" t="inlineStr"/>
    </row>
    <row r="23">
      <c r="A23" s="3" t="n">
        <v>21</v>
      </c>
      <c r="B23" s="4" t="inlineStr">
        <is>
          <t>Cài đặt hệ thống</t>
        </is>
      </c>
      <c r="C23" s="5" t="inlineStr">
        <is>
          <t>system_settings</t>
        </is>
      </c>
      <c r="D23" s="4" t="inlineStr"/>
    </row>
    <row r="24">
      <c r="A24" s="3" t="n">
        <v>22</v>
      </c>
      <c r="B24" s="4" t="inlineStr">
        <is>
          <t>Quản lý danh mục</t>
        </is>
      </c>
      <c r="C24" s="5" t="inlineStr">
        <is>
          <t>meisyo_controls</t>
        </is>
      </c>
      <c r="D24" s="4" t="inlineStr"/>
    </row>
    <row r="25">
      <c r="A25" s="3" t="n">
        <v>23</v>
      </c>
      <c r="B25" s="4" t="inlineStr">
        <is>
          <t>Danh mục mã</t>
        </is>
      </c>
      <c r="C25" s="5" t="inlineStr">
        <is>
          <t>meisyo_items</t>
        </is>
      </c>
      <c r="D25" s="4" t="inlineStr"/>
    </row>
    <row r="26">
      <c r="A26" s="3" t="n">
        <v>24</v>
      </c>
      <c r="B26" s="4" t="inlineStr">
        <is>
          <t>Số thứ tự tự động</t>
        </is>
      </c>
      <c r="C26" s="5" t="inlineStr">
        <is>
          <t>index_numbers</t>
        </is>
      </c>
      <c r="D26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50" customWidth="1" min="4" max="4"/>
    <col width="20" customWidth="1" min="5" max="5"/>
  </cols>
  <sheetData>
    <row r="1" ht="30" customHeight="1">
      <c r="A1" s="1" t="inlineStr">
        <is>
          <t>LỊCH SỬ SỬA ĐỔI</t>
        </is>
      </c>
    </row>
    <row r="2">
      <c r="A2" s="2" t="inlineStr">
        <is>
          <t>Ngày sửa</t>
        </is>
      </c>
      <c r="B2" s="2" t="inlineStr">
        <is>
          <t>Người sửa</t>
        </is>
      </c>
      <c r="C2" s="2" t="inlineStr">
        <is>
          <t>Bảng</t>
        </is>
      </c>
      <c r="D2" s="2" t="inlineStr">
        <is>
          <t>Nội dung sửa đổi</t>
        </is>
      </c>
      <c r="E2" s="2" t="inlineStr">
        <is>
          <t>SQL áp dụng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Quản trị viên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admins</t>
        </is>
      </c>
      <c r="D6" s="7" t="inlineStr"/>
      <c r="E6" s="4" t="inlineStr"/>
    </row>
    <row r="7">
      <c r="A7" s="7" t="inlineStr">
        <is>
          <t>Ghi chú</t>
        </is>
      </c>
      <c r="B7" s="4" t="inlineStr">
        <is>
          <t>Thông tin đăng nhập phía quản trị</t>
        </is>
      </c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Tên đăng nhập</t>
        </is>
      </c>
      <c r="C13" s="9" t="inlineStr">
        <is>
          <t>login_id</t>
        </is>
      </c>
      <c r="D13" s="9" t="inlineStr">
        <is>
          <t>varchar(50)</t>
        </is>
      </c>
      <c r="E13" s="4" t="inlineStr">
        <is>
          <t>Yes</t>
        </is>
      </c>
      <c r="F13" s="4" t="inlineStr"/>
      <c r="G13" s="4" t="inlineStr"/>
    </row>
    <row r="14" ht="18" customHeight="1">
      <c r="A14" s="3" t="n">
        <v>3</v>
      </c>
      <c r="B14" s="4" t="inlineStr">
        <is>
          <t>Mật khẩu (hash)</t>
        </is>
      </c>
      <c r="C14" s="9" t="inlineStr">
        <is>
          <t>password</t>
        </is>
      </c>
      <c r="D14" s="9" t="inlineStr">
        <is>
          <t>varchar(255)</t>
        </is>
      </c>
      <c r="E14" s="4" t="inlineStr">
        <is>
          <t>Yes</t>
        </is>
      </c>
      <c r="F14" s="4" t="inlineStr"/>
      <c r="G14" s="4" t="inlineStr">
        <is>
          <t>BCrypt</t>
        </is>
      </c>
    </row>
    <row r="15" ht="18" customHeight="1">
      <c r="A15" s="3" t="n">
        <v>4</v>
      </c>
      <c r="B15" s="4" t="inlineStr">
        <is>
          <t>Họ tên</t>
        </is>
      </c>
      <c r="C15" s="9" t="inlineStr">
        <is>
          <t>full_name</t>
        </is>
      </c>
      <c r="D15" s="9" t="inlineStr">
        <is>
          <t>varchar(100)</t>
        </is>
      </c>
      <c r="E15" s="4" t="inlineStr">
        <is>
          <t>Yes</t>
        </is>
      </c>
      <c r="F15" s="4" t="inlineStr"/>
      <c r="G15" s="4" t="inlineStr"/>
    </row>
    <row r="16" ht="18" customHeight="1">
      <c r="A16" s="3" t="n">
        <v>5</v>
      </c>
      <c r="B16" s="4" t="inlineStr">
        <is>
          <t>Email</t>
        </is>
      </c>
      <c r="C16" s="9" t="inlineStr">
        <is>
          <t>email</t>
        </is>
      </c>
      <c r="D16" s="9" t="inlineStr">
        <is>
          <t>varchar(255)</t>
        </is>
      </c>
      <c r="E16" s="4" t="inlineStr">
        <is>
          <t>Yes</t>
        </is>
      </c>
      <c r="F16" s="4" t="inlineStr"/>
      <c r="G16" s="4" t="inlineStr"/>
    </row>
    <row r="17" ht="18" customHeight="1">
      <c r="A17" s="3" t="n">
        <v>6</v>
      </c>
      <c r="B17" s="4" t="inlineStr">
        <is>
          <t>ID chi nhánh</t>
        </is>
      </c>
      <c r="C17" s="9" t="inlineStr">
        <is>
          <t>branch_id</t>
        </is>
      </c>
      <c r="D17" s="9" t="inlineStr">
        <is>
          <t>int(11)</t>
        </is>
      </c>
      <c r="E17" s="4" t="inlineStr"/>
      <c r="F17" s="4" t="inlineStr"/>
      <c r="G17" s="4">
        <f>branches.id</f>
        <v/>
      </c>
    </row>
    <row r="18" ht="18" customHeight="1">
      <c r="A18" s="3" t="n">
        <v>7</v>
      </c>
      <c r="B18" s="4" t="inlineStr">
        <is>
          <t>Cờ vô hiệu hóa</t>
        </is>
      </c>
      <c r="C18" s="9" t="inlineStr">
        <is>
          <t>disabled_flag</t>
        </is>
      </c>
      <c r="D18" s="9" t="inlineStr">
        <is>
          <t>tinyint(1)</t>
        </is>
      </c>
      <c r="E18" s="4" t="inlineStr"/>
      <c r="F18" s="4" t="inlineStr">
        <is>
          <t>0</t>
        </is>
      </c>
      <c r="G18" s="4" t="inlineStr">
        <is>
          <t>1: Vô hiệu hóa</t>
        </is>
      </c>
    </row>
    <row r="19" ht="18" customHeight="1">
      <c r="A19" s="3" t="n">
        <v>8</v>
      </c>
      <c r="B19" s="4" t="inlineStr">
        <is>
          <t>Ngày tạo</t>
        </is>
      </c>
      <c r="C19" s="9" t="inlineStr">
        <is>
          <t>created</t>
        </is>
      </c>
      <c r="D19" s="9" t="inlineStr">
        <is>
          <t>datetime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ID người tạo</t>
        </is>
      </c>
      <c r="C20" s="9" t="inlineStr">
        <is>
          <t>created_user_id</t>
        </is>
      </c>
      <c r="D20" s="9" t="inlineStr">
        <is>
          <t>int(11)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Ngày cập nhật</t>
        </is>
      </c>
      <c r="C21" s="9" t="inlineStr">
        <is>
          <t>modified</t>
        </is>
      </c>
      <c r="D21" s="9" t="inlineStr">
        <is>
          <t>datetime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ID người cập nhật</t>
        </is>
      </c>
      <c r="C22" s="9" t="inlineStr">
        <is>
          <t>modified_user_id</t>
        </is>
      </c>
      <c r="D22" s="9" t="inlineStr">
        <is>
          <t>int(11)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Ngày xóa</t>
        </is>
      </c>
      <c r="C23" s="9" t="inlineStr">
        <is>
          <t>deleted</t>
        </is>
      </c>
      <c r="D23" s="9" t="inlineStr">
        <is>
          <t>datetime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Cờ đã xóa</t>
        </is>
      </c>
      <c r="C24" s="9" t="inlineStr">
        <is>
          <t>deleted_flag</t>
        </is>
      </c>
      <c r="D24" s="9" t="inlineStr">
        <is>
          <t>tinyint(1)</t>
        </is>
      </c>
      <c r="E24" s="4" t="inlineStr"/>
      <c r="F24" s="4" t="inlineStr">
        <is>
          <t>0</t>
        </is>
      </c>
      <c r="G24" s="4" t="inlineStr"/>
    </row>
    <row r="26">
      <c r="A26" s="8" t="inlineStr">
        <is>
          <t>THÔNG TIN INDEX</t>
        </is>
      </c>
    </row>
    <row r="27">
      <c r="A27" s="2" t="inlineStr">
        <is>
          <t>No</t>
        </is>
      </c>
      <c r="B27" s="2" t="inlineStr">
        <is>
          <t>Tên index</t>
        </is>
      </c>
      <c r="C27" s="2" t="inlineStr">
        <is>
          <t>Danh sách cột</t>
        </is>
      </c>
      <c r="D27" s="2" t="inlineStr"/>
      <c r="E27" s="2" t="inlineStr">
        <is>
          <t>Khóa chính</t>
        </is>
      </c>
      <c r="F27" s="2" t="inlineStr">
        <is>
          <t>Unique</t>
        </is>
      </c>
      <c r="G27" s="2" t="inlineStr">
        <is>
          <t>Ghi chú</t>
        </is>
      </c>
    </row>
    <row r="28">
      <c r="A28" s="3" t="n">
        <v>1</v>
      </c>
      <c r="B28" s="4" t="inlineStr">
        <is>
          <t>PRIMARY</t>
        </is>
      </c>
      <c r="C28" s="4" t="inlineStr">
        <is>
          <t>id</t>
        </is>
      </c>
      <c r="D28" s="4" t="inlineStr"/>
      <c r="E28" s="4" t="inlineStr">
        <is>
          <t>Yes</t>
        </is>
      </c>
      <c r="F28" s="4" t="inlineStr">
        <is>
          <t>Yes</t>
        </is>
      </c>
      <c r="G28" s="4" t="inlineStr"/>
    </row>
    <row r="29">
      <c r="A29" s="3" t="n">
        <v>2</v>
      </c>
      <c r="B29" s="4" t="inlineStr">
        <is>
          <t>idx_login_id</t>
        </is>
      </c>
      <c r="C29" s="4" t="inlineStr">
        <is>
          <t>login_id</t>
        </is>
      </c>
      <c r="D29" s="4" t="inlineStr"/>
      <c r="E29" s="4" t="inlineStr">
        <is>
          <t>No</t>
        </is>
      </c>
      <c r="F29" s="4" t="inlineStr">
        <is>
          <t>Yes</t>
        </is>
      </c>
      <c r="G29" s="4" t="inlineStr">
        <is>
          <t>Unique login</t>
        </is>
      </c>
    </row>
    <row r="31">
      <c r="A31" s="8" t="inlineStr">
        <is>
          <t>THÔNG TIN KHÓA NGOẠI</t>
        </is>
      </c>
    </row>
    <row r="32">
      <c r="A32" s="2" t="inlineStr">
        <is>
          <t>No</t>
        </is>
      </c>
      <c r="B32" s="2" t="inlineStr">
        <is>
          <t>Tên FK</t>
        </is>
      </c>
      <c r="C32" s="2" t="inlineStr">
        <is>
          <t>Cột</t>
        </is>
      </c>
      <c r="D32" s="2" t="inlineStr"/>
      <c r="E32" s="2" t="inlineStr">
        <is>
          <t>Bảng tham chiếu</t>
        </is>
      </c>
      <c r="F32" s="2" t="inlineStr"/>
      <c r="G32" s="2" t="inlineStr">
        <is>
          <t>Cột tham chiếu</t>
        </is>
      </c>
    </row>
    <row r="33">
      <c r="A33" s="3" t="n">
        <v>1</v>
      </c>
      <c r="B33" s="4" t="inlineStr">
        <is>
          <t>fk_admins_branch</t>
        </is>
      </c>
      <c r="C33" s="4" t="inlineStr">
        <is>
          <t>branch_id</t>
        </is>
      </c>
      <c r="D33" s="4" t="inlineStr"/>
      <c r="E33" s="4" t="inlineStr">
        <is>
          <t>branches</t>
        </is>
      </c>
      <c r="F33" s="4" t="inlineStr"/>
      <c r="G33" s="4" t="inlineStr">
        <is>
          <t>id</t>
        </is>
      </c>
    </row>
  </sheetData>
  <mergeCells count="29">
    <mergeCell ref="D4"/>
    <mergeCell ref="A4"/>
    <mergeCell ref="D3"/>
    <mergeCell ref="B7:C7"/>
    <mergeCell ref="B3:C3"/>
    <mergeCell ref="E5:F5"/>
    <mergeCell ref="D5"/>
    <mergeCell ref="A10:G10"/>
    <mergeCell ref="E4:F4"/>
    <mergeCell ref="B2:C2"/>
    <mergeCell ref="A9:G9"/>
    <mergeCell ref="A31:G31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6:G26"/>
    <mergeCell ref="A2"/>
    <mergeCell ref="E3:F3"/>
    <mergeCell ref="B4:C4"/>
    <mergeCell ref="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Công ty Việt Nam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companies_vn</t>
        </is>
      </c>
      <c r="D6" s="7" t="inlineStr"/>
      <c r="E6" s="4" t="inlineStr"/>
    </row>
    <row r="7">
      <c r="A7" s="7" t="inlineStr">
        <is>
          <t>Ghi chú</t>
        </is>
      </c>
      <c r="B7" s="4" t="inlineStr">
        <is>
          <t>Khách hàng phía Việt Nam</t>
        </is>
      </c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Mã công ty</t>
        </is>
      </c>
      <c r="C13" s="9" t="inlineStr">
        <is>
          <t>company_cd</t>
        </is>
      </c>
      <c r="D13" s="9" t="inlineStr">
        <is>
          <t>varchar(50)</t>
        </is>
      </c>
      <c r="E13" s="4" t="inlineStr"/>
      <c r="F13" s="4" t="inlineStr"/>
      <c r="G13" s="4" t="inlineStr"/>
    </row>
    <row r="14" ht="18" customHeight="1">
      <c r="A14" s="3" t="n">
        <v>3</v>
      </c>
      <c r="B14" s="4" t="inlineStr">
        <is>
          <t>Tên công ty</t>
        </is>
      </c>
      <c r="C14" s="9" t="inlineStr">
        <is>
          <t>company_name</t>
        </is>
      </c>
      <c r="D14" s="9" t="inlineStr">
        <is>
          <t>varchar(255)</t>
        </is>
      </c>
      <c r="E14" s="4" t="inlineStr">
        <is>
          <t>Yes</t>
        </is>
      </c>
      <c r="F14" s="4" t="inlineStr"/>
      <c r="G14" s="4" t="inlineStr"/>
    </row>
    <row r="15" ht="18" customHeight="1">
      <c r="A15" s="3" t="n">
        <v>4</v>
      </c>
      <c r="B15" s="4" t="inlineStr">
        <is>
          <t>Địa chỉ</t>
        </is>
      </c>
      <c r="C15" s="9" t="inlineStr">
        <is>
          <t>address</t>
        </is>
      </c>
      <c r="D15" s="9" t="inlineStr">
        <is>
          <t>varchar(500)</t>
        </is>
      </c>
      <c r="E15" s="4" t="inlineStr"/>
      <c r="F15" s="4" t="inlineStr"/>
      <c r="G15" s="4" t="inlineStr"/>
    </row>
    <row r="16" ht="18" customHeight="1">
      <c r="A16" s="3" t="n">
        <v>5</v>
      </c>
      <c r="B16" s="4" t="inlineStr">
        <is>
          <t>Tỉnh/Thành phố</t>
        </is>
      </c>
      <c r="C16" s="9" t="inlineStr">
        <is>
          <t>province</t>
        </is>
      </c>
      <c r="D16" s="9" t="inlineStr">
        <is>
          <t>varchar(100)</t>
        </is>
      </c>
      <c r="E16" s="4" t="inlineStr"/>
      <c r="F16" s="4" t="inlineStr"/>
      <c r="G16" s="4" t="inlineStr"/>
    </row>
    <row r="17" ht="18" customHeight="1">
      <c r="A17" s="3" t="n">
        <v>6</v>
      </c>
      <c r="B17" s="4" t="inlineStr">
        <is>
          <t>Điện thoại</t>
        </is>
      </c>
      <c r="C17" s="9" t="inlineStr">
        <is>
          <t>tel</t>
        </is>
      </c>
      <c r="D17" s="9" t="inlineStr">
        <is>
          <t>varchar(20)</t>
        </is>
      </c>
      <c r="E17" s="4" t="inlineStr"/>
      <c r="F17" s="4" t="inlineStr"/>
      <c r="G17" s="4" t="inlineStr"/>
    </row>
    <row r="18" ht="18" customHeight="1">
      <c r="A18" s="3" t="n">
        <v>7</v>
      </c>
      <c r="B18" s="4" t="inlineStr">
        <is>
          <t>Fax</t>
        </is>
      </c>
      <c r="C18" s="9" t="inlineStr">
        <is>
          <t>fax</t>
        </is>
      </c>
      <c r="D18" s="9" t="inlineStr">
        <is>
          <t>varchar(20)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Email</t>
        </is>
      </c>
      <c r="C19" s="9" t="inlineStr">
        <is>
          <t>email</t>
        </is>
      </c>
      <c r="D19" s="9" t="inlineStr">
        <is>
          <t>varchar(255)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Mã số thuế</t>
        </is>
      </c>
      <c r="C20" s="9" t="inlineStr">
        <is>
          <t>tax_code</t>
        </is>
      </c>
      <c r="D20" s="9" t="inlineStr">
        <is>
          <t>varchar(20)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Người liên hệ</t>
        </is>
      </c>
      <c r="C21" s="9" t="inlineStr">
        <is>
          <t>contact_name</t>
        </is>
      </c>
      <c r="D21" s="9" t="inlineStr">
        <is>
          <t>varchar(100)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Ghi chú</t>
        </is>
      </c>
      <c r="C22" s="9" t="inlineStr">
        <is>
          <t>memo</t>
        </is>
      </c>
      <c r="D22" s="9" t="inlineStr">
        <is>
          <t>text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Cờ vô hiệu hóa</t>
        </is>
      </c>
      <c r="C23" s="9" t="inlineStr">
        <is>
          <t>disabled_flag</t>
        </is>
      </c>
      <c r="D23" s="9" t="inlineStr">
        <is>
          <t>tinyint(1)</t>
        </is>
      </c>
      <c r="E23" s="4" t="inlineStr"/>
      <c r="F23" s="4" t="inlineStr">
        <is>
          <t>0</t>
        </is>
      </c>
      <c r="G23" s="4" t="inlineStr">
        <is>
          <t>1: Vô hiệu hóa</t>
        </is>
      </c>
    </row>
    <row r="24" ht="18" customHeight="1">
      <c r="A24" s="3" t="n">
        <v>13</v>
      </c>
      <c r="B24" s="4" t="inlineStr">
        <is>
          <t>Ngày tạo</t>
        </is>
      </c>
      <c r="C24" s="9" t="inlineStr">
        <is>
          <t>created</t>
        </is>
      </c>
      <c r="D24" s="9" t="inlineStr">
        <is>
          <t>datetime</t>
        </is>
      </c>
      <c r="E24" s="4" t="inlineStr"/>
      <c r="F24" s="4" t="inlineStr"/>
      <c r="G24" s="4" t="inlineStr"/>
    </row>
    <row r="25" ht="18" customHeight="1">
      <c r="A25" s="3" t="n">
        <v>14</v>
      </c>
      <c r="B25" s="4" t="inlineStr">
        <is>
          <t>ID người tạo</t>
        </is>
      </c>
      <c r="C25" s="9" t="inlineStr">
        <is>
          <t>created_user_id</t>
        </is>
      </c>
      <c r="D25" s="9" t="inlineStr">
        <is>
          <t>int(11)</t>
        </is>
      </c>
      <c r="E25" s="4" t="inlineStr"/>
      <c r="F25" s="4" t="inlineStr"/>
      <c r="G25" s="4" t="inlineStr"/>
    </row>
    <row r="26" ht="18" customHeight="1">
      <c r="A26" s="3" t="n">
        <v>15</v>
      </c>
      <c r="B26" s="4" t="inlineStr">
        <is>
          <t>Ngày cập nhật</t>
        </is>
      </c>
      <c r="C26" s="9" t="inlineStr">
        <is>
          <t>modified</t>
        </is>
      </c>
      <c r="D26" s="9" t="inlineStr">
        <is>
          <t>datetime</t>
        </is>
      </c>
      <c r="E26" s="4" t="inlineStr"/>
      <c r="F26" s="4" t="inlineStr"/>
      <c r="G26" s="4" t="inlineStr"/>
    </row>
    <row r="27" ht="18" customHeight="1">
      <c r="A27" s="3" t="n">
        <v>16</v>
      </c>
      <c r="B27" s="4" t="inlineStr">
        <is>
          <t>ID người cập nhật</t>
        </is>
      </c>
      <c r="C27" s="9" t="inlineStr">
        <is>
          <t>modified_user_id</t>
        </is>
      </c>
      <c r="D27" s="9" t="inlineStr">
        <is>
          <t>int(11)</t>
        </is>
      </c>
      <c r="E27" s="4" t="inlineStr"/>
      <c r="F27" s="4" t="inlineStr"/>
      <c r="G27" s="4" t="inlineStr"/>
    </row>
    <row r="28" ht="18" customHeight="1">
      <c r="A28" s="3" t="n">
        <v>17</v>
      </c>
      <c r="B28" s="4" t="inlineStr">
        <is>
          <t>Ngày xóa</t>
        </is>
      </c>
      <c r="C28" s="9" t="inlineStr">
        <is>
          <t>deleted</t>
        </is>
      </c>
      <c r="D28" s="9" t="inlineStr">
        <is>
          <t>datetime</t>
        </is>
      </c>
      <c r="E28" s="4" t="inlineStr"/>
      <c r="F28" s="4" t="inlineStr"/>
      <c r="G28" s="4" t="inlineStr"/>
    </row>
    <row r="29" ht="18" customHeight="1">
      <c r="A29" s="3" t="n">
        <v>18</v>
      </c>
      <c r="B29" s="4" t="inlineStr">
        <is>
          <t>Cờ đã xóa</t>
        </is>
      </c>
      <c r="C29" s="9" t="inlineStr">
        <is>
          <t>deleted_flag</t>
        </is>
      </c>
      <c r="D29" s="9" t="inlineStr">
        <is>
          <t>tinyint(1)</t>
        </is>
      </c>
      <c r="E29" s="4" t="inlineStr"/>
      <c r="F29" s="4" t="inlineStr">
        <is>
          <t>0</t>
        </is>
      </c>
      <c r="G29" s="4" t="inlineStr"/>
    </row>
    <row r="31">
      <c r="A31" s="8" t="inlineStr">
        <is>
          <t>THÔNG TIN INDEX</t>
        </is>
      </c>
    </row>
    <row r="32">
      <c r="A32" s="2" t="inlineStr">
        <is>
          <t>No</t>
        </is>
      </c>
      <c r="B32" s="2" t="inlineStr">
        <is>
          <t>Tên index</t>
        </is>
      </c>
      <c r="C32" s="2" t="inlineStr">
        <is>
          <t>Danh sách cột</t>
        </is>
      </c>
      <c r="D32" s="2" t="inlineStr"/>
      <c r="E32" s="2" t="inlineStr">
        <is>
          <t>Khóa chính</t>
        </is>
      </c>
      <c r="F32" s="2" t="inlineStr">
        <is>
          <t>Unique</t>
        </is>
      </c>
      <c r="G32" s="2" t="inlineStr">
        <is>
          <t>Ghi chú</t>
        </is>
      </c>
    </row>
    <row r="33">
      <c r="A33" s="10" t="n">
        <v>1</v>
      </c>
      <c r="B33" s="10" t="inlineStr">
        <is>
          <t>PRIMARY</t>
        </is>
      </c>
      <c r="C33" s="10" t="inlineStr">
        <is>
          <t>id</t>
        </is>
      </c>
      <c r="D33" s="10" t="inlineStr"/>
      <c r="E33" s="10" t="inlineStr">
        <is>
          <t>Yes</t>
        </is>
      </c>
      <c r="F33" s="10" t="inlineStr">
        <is>
          <t>Yes</t>
        </is>
      </c>
      <c r="G33" s="10" t="inlineStr"/>
    </row>
    <row r="35">
      <c r="A35" s="8" t="inlineStr">
        <is>
          <t>THÔNG TIN KHÓA NGOẠI</t>
        </is>
      </c>
    </row>
    <row r="36">
      <c r="A36" s="2" t="inlineStr">
        <is>
          <t>No</t>
        </is>
      </c>
      <c r="B36" s="2" t="inlineStr">
        <is>
          <t>Tên FK</t>
        </is>
      </c>
      <c r="C36" s="2" t="inlineStr">
        <is>
          <t>Cột</t>
        </is>
      </c>
      <c r="D36" s="2" t="inlineStr"/>
      <c r="E36" s="2" t="inlineStr">
        <is>
          <t>Bảng tham chiếu</t>
        </is>
      </c>
      <c r="F36" s="2" t="inlineStr"/>
      <c r="G36" s="2" t="inlineStr">
        <is>
          <t>Cột tham chiếu</t>
        </is>
      </c>
    </row>
  </sheetData>
  <mergeCells count="29">
    <mergeCell ref="D4"/>
    <mergeCell ref="A4"/>
    <mergeCell ref="D3"/>
    <mergeCell ref="B7:C7"/>
    <mergeCell ref="B3:C3"/>
    <mergeCell ref="A35:G35"/>
    <mergeCell ref="E5:F5"/>
    <mergeCell ref="D5"/>
    <mergeCell ref="A10:G10"/>
    <mergeCell ref="E4:F4"/>
    <mergeCell ref="B2:C2"/>
    <mergeCell ref="A9:G9"/>
    <mergeCell ref="A31:G31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"/>
    <mergeCell ref="E3:F3"/>
    <mergeCell ref="B4:C4"/>
    <mergeCell ref="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Nhà cung cấp Nhật Bản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suppliers_jp</t>
        </is>
      </c>
      <c r="D6" s="7" t="inlineStr"/>
      <c r="E6" s="4" t="inlineStr"/>
    </row>
    <row r="7">
      <c r="A7" s="7" t="inlineStr">
        <is>
          <t>Ghi chú</t>
        </is>
      </c>
      <c r="B7" s="4" t="inlineStr">
        <is>
          <t>Nhà cung cấp phía Nhật Bản</t>
        </is>
      </c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Mã nhà cung cấp</t>
        </is>
      </c>
      <c r="C13" s="9" t="inlineStr">
        <is>
          <t>supplier_cd</t>
        </is>
      </c>
      <c r="D13" s="9" t="inlineStr">
        <is>
          <t>varchar(50)</t>
        </is>
      </c>
      <c r="E13" s="4" t="inlineStr"/>
      <c r="F13" s="4" t="inlineStr"/>
      <c r="G13" s="4" t="inlineStr"/>
    </row>
    <row r="14" ht="18" customHeight="1">
      <c r="A14" s="3" t="n">
        <v>3</v>
      </c>
      <c r="B14" s="4" t="inlineStr">
        <is>
          <t>Tên nhà cung cấp</t>
        </is>
      </c>
      <c r="C14" s="9" t="inlineStr">
        <is>
          <t>supplier_name</t>
        </is>
      </c>
      <c r="D14" s="9" t="inlineStr">
        <is>
          <t>varchar(255)</t>
        </is>
      </c>
      <c r="E14" s="4" t="inlineStr">
        <is>
          <t>Yes</t>
        </is>
      </c>
      <c r="F14" s="4" t="inlineStr"/>
      <c r="G14" s="4" t="inlineStr"/>
    </row>
    <row r="15" ht="18" customHeight="1">
      <c r="A15" s="3" t="n">
        <v>4</v>
      </c>
      <c r="B15" s="4" t="inlineStr">
        <is>
          <t>Tên nhà CC (JP)</t>
        </is>
      </c>
      <c r="C15" s="9" t="inlineStr">
        <is>
          <t>supplier_name_jp</t>
        </is>
      </c>
      <c r="D15" s="9" t="inlineStr">
        <is>
          <t>varchar(255)</t>
        </is>
      </c>
      <c r="E15" s="4" t="inlineStr"/>
      <c r="F15" s="4" t="inlineStr"/>
      <c r="G15" s="4" t="inlineStr">
        <is>
          <t>Tên tiếng Nhật</t>
        </is>
      </c>
    </row>
    <row r="16" ht="18" customHeight="1">
      <c r="A16" s="3" t="n">
        <v>5</v>
      </c>
      <c r="B16" s="4" t="inlineStr">
        <is>
          <t>Địa chỉ</t>
        </is>
      </c>
      <c r="C16" s="9" t="inlineStr">
        <is>
          <t>address</t>
        </is>
      </c>
      <c r="D16" s="9" t="inlineStr">
        <is>
          <t>varchar(500)</t>
        </is>
      </c>
      <c r="E16" s="4" t="inlineStr"/>
      <c r="F16" s="4" t="inlineStr"/>
      <c r="G16" s="4" t="inlineStr"/>
    </row>
    <row r="17" ht="18" customHeight="1">
      <c r="A17" s="3" t="n">
        <v>6</v>
      </c>
      <c r="B17" s="4" t="inlineStr">
        <is>
          <t>Điện thoại</t>
        </is>
      </c>
      <c r="C17" s="9" t="inlineStr">
        <is>
          <t>tel</t>
        </is>
      </c>
      <c r="D17" s="9" t="inlineStr">
        <is>
          <t>varchar(20)</t>
        </is>
      </c>
      <c r="E17" s="4" t="inlineStr"/>
      <c r="F17" s="4" t="inlineStr"/>
      <c r="G17" s="4" t="inlineStr"/>
    </row>
    <row r="18" ht="18" customHeight="1">
      <c r="A18" s="3" t="n">
        <v>7</v>
      </c>
      <c r="B18" s="4" t="inlineStr">
        <is>
          <t>Email</t>
        </is>
      </c>
      <c r="C18" s="9" t="inlineStr">
        <is>
          <t>email</t>
        </is>
      </c>
      <c r="D18" s="9" t="inlineStr">
        <is>
          <t>varchar(255)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Người liên hệ</t>
        </is>
      </c>
      <c r="C19" s="9" t="inlineStr">
        <is>
          <t>contact_name</t>
        </is>
      </c>
      <c r="D19" s="9" t="inlineStr">
        <is>
          <t>varchar(100)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Ghi chú</t>
        </is>
      </c>
      <c r="C20" s="9" t="inlineStr">
        <is>
          <t>memo</t>
        </is>
      </c>
      <c r="D20" s="9" t="inlineStr">
        <is>
          <t>text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Cờ vô hiệu hóa</t>
        </is>
      </c>
      <c r="C21" s="9" t="inlineStr">
        <is>
          <t>disabled_flag</t>
        </is>
      </c>
      <c r="D21" s="9" t="inlineStr">
        <is>
          <t>tinyint(1)</t>
        </is>
      </c>
      <c r="E21" s="4" t="inlineStr"/>
      <c r="F21" s="4" t="inlineStr">
        <is>
          <t>0</t>
        </is>
      </c>
      <c r="G21" s="4" t="inlineStr"/>
    </row>
    <row r="22" ht="18" customHeight="1">
      <c r="A22" s="3" t="n">
        <v>11</v>
      </c>
      <c r="B22" s="4" t="inlineStr">
        <is>
          <t>Ngày tạo</t>
        </is>
      </c>
      <c r="C22" s="9" t="inlineStr">
        <is>
          <t>created</t>
        </is>
      </c>
      <c r="D22" s="9" t="inlineStr">
        <is>
          <t>datetime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ID người tạo</t>
        </is>
      </c>
      <c r="C23" s="9" t="inlineStr">
        <is>
          <t>created_user_id</t>
        </is>
      </c>
      <c r="D23" s="9" t="inlineStr">
        <is>
          <t>int(11)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Ngày cập nhật</t>
        </is>
      </c>
      <c r="C24" s="9" t="inlineStr">
        <is>
          <t>modified</t>
        </is>
      </c>
      <c r="D24" s="9" t="inlineStr">
        <is>
          <t>datetime</t>
        </is>
      </c>
      <c r="E24" s="4" t="inlineStr"/>
      <c r="F24" s="4" t="inlineStr"/>
      <c r="G24" s="4" t="inlineStr"/>
    </row>
    <row r="25" ht="18" customHeight="1">
      <c r="A25" s="3" t="n">
        <v>14</v>
      </c>
      <c r="B25" s="4" t="inlineStr">
        <is>
          <t>ID người cập nhật</t>
        </is>
      </c>
      <c r="C25" s="9" t="inlineStr">
        <is>
          <t>modified_user_id</t>
        </is>
      </c>
      <c r="D25" s="9" t="inlineStr">
        <is>
          <t>int(11)</t>
        </is>
      </c>
      <c r="E25" s="4" t="inlineStr"/>
      <c r="F25" s="4" t="inlineStr"/>
      <c r="G25" s="4" t="inlineStr"/>
    </row>
    <row r="26" ht="18" customHeight="1">
      <c r="A26" s="3" t="n">
        <v>15</v>
      </c>
      <c r="B26" s="4" t="inlineStr">
        <is>
          <t>Ngày xóa</t>
        </is>
      </c>
      <c r="C26" s="9" t="inlineStr">
        <is>
          <t>deleted</t>
        </is>
      </c>
      <c r="D26" s="9" t="inlineStr">
        <is>
          <t>datetime</t>
        </is>
      </c>
      <c r="E26" s="4" t="inlineStr"/>
      <c r="F26" s="4" t="inlineStr"/>
      <c r="G26" s="4" t="inlineStr"/>
    </row>
    <row r="27" ht="18" customHeight="1">
      <c r="A27" s="3" t="n">
        <v>16</v>
      </c>
      <c r="B27" s="4" t="inlineStr">
        <is>
          <t>Cờ đã xóa</t>
        </is>
      </c>
      <c r="C27" s="9" t="inlineStr">
        <is>
          <t>deleted_flag</t>
        </is>
      </c>
      <c r="D27" s="9" t="inlineStr">
        <is>
          <t>tinyint(1)</t>
        </is>
      </c>
      <c r="E27" s="4" t="inlineStr"/>
      <c r="F27" s="4" t="inlineStr">
        <is>
          <t>0</t>
        </is>
      </c>
      <c r="G27" s="4" t="inlineStr"/>
    </row>
    <row r="29">
      <c r="A29" s="8" t="inlineStr">
        <is>
          <t>THÔNG TIN INDEX</t>
        </is>
      </c>
    </row>
    <row r="30">
      <c r="A30" s="2" t="inlineStr">
        <is>
          <t>No</t>
        </is>
      </c>
      <c r="B30" s="2" t="inlineStr">
        <is>
          <t>Tên index</t>
        </is>
      </c>
      <c r="C30" s="2" t="inlineStr">
        <is>
          <t>Danh sách cột</t>
        </is>
      </c>
      <c r="D30" s="2" t="inlineStr"/>
      <c r="E30" s="2" t="inlineStr">
        <is>
          <t>Khóa chính</t>
        </is>
      </c>
      <c r="F30" s="2" t="inlineStr">
        <is>
          <t>Unique</t>
        </is>
      </c>
      <c r="G30" s="2" t="inlineStr">
        <is>
          <t>Ghi chú</t>
        </is>
      </c>
    </row>
    <row r="31">
      <c r="A31" s="10" t="n">
        <v>1</v>
      </c>
      <c r="B31" s="10" t="inlineStr">
        <is>
          <t>PRIMARY</t>
        </is>
      </c>
      <c r="C31" s="10" t="inlineStr">
        <is>
          <t>id</t>
        </is>
      </c>
      <c r="D31" s="10" t="inlineStr"/>
      <c r="E31" s="10" t="inlineStr">
        <is>
          <t>Yes</t>
        </is>
      </c>
      <c r="F31" s="10" t="inlineStr">
        <is>
          <t>Yes</t>
        </is>
      </c>
      <c r="G31" s="10" t="inlineStr"/>
    </row>
    <row r="33">
      <c r="A33" s="8" t="inlineStr">
        <is>
          <t>THÔNG TIN KHÓA NGOẠI</t>
        </is>
      </c>
    </row>
    <row r="34">
      <c r="A34" s="2" t="inlineStr">
        <is>
          <t>No</t>
        </is>
      </c>
      <c r="B34" s="2" t="inlineStr">
        <is>
          <t>Tên FK</t>
        </is>
      </c>
      <c r="C34" s="2" t="inlineStr">
        <is>
          <t>Cột</t>
        </is>
      </c>
      <c r="D34" s="2" t="inlineStr"/>
      <c r="E34" s="2" t="inlineStr">
        <is>
          <t>Bảng tham chiếu</t>
        </is>
      </c>
      <c r="F34" s="2" t="inlineStr"/>
      <c r="G34" s="2" t="inlineStr">
        <is>
          <t>Cột tham chiếu</t>
        </is>
      </c>
    </row>
  </sheetData>
  <mergeCells count="29">
    <mergeCell ref="D4"/>
    <mergeCell ref="A4"/>
    <mergeCell ref="D3"/>
    <mergeCell ref="B7:C7"/>
    <mergeCell ref="B3:C3"/>
    <mergeCell ref="E5:F5"/>
    <mergeCell ref="A29:G29"/>
    <mergeCell ref="D5"/>
    <mergeCell ref="A10:G10"/>
    <mergeCell ref="E4:F4"/>
    <mergeCell ref="B2:C2"/>
    <mergeCell ref="A9:G9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"/>
    <mergeCell ref="E3:F3"/>
    <mergeCell ref="A33:G33"/>
    <mergeCell ref="B4:C4"/>
    <mergeCell ref="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Danh mục hàng hóa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product_categories</t>
        </is>
      </c>
      <c r="D6" s="7" t="inlineStr"/>
      <c r="E6" s="4" t="inlineStr"/>
    </row>
    <row r="7">
      <c r="A7" s="7" t="inlineStr">
        <is>
          <t>Ghi chú</t>
        </is>
      </c>
      <c r="B7" s="4" t="inlineStr"/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Tên danh mục</t>
        </is>
      </c>
      <c r="C13" s="9" t="inlineStr">
        <is>
          <t>category_name</t>
        </is>
      </c>
      <c r="D13" s="9" t="inlineStr">
        <is>
          <t>varchar(255)</t>
        </is>
      </c>
      <c r="E13" s="4" t="inlineStr">
        <is>
          <t>Yes</t>
        </is>
      </c>
      <c r="F13" s="4" t="inlineStr"/>
      <c r="G13" s="4" t="inlineStr"/>
    </row>
    <row r="14" ht="18" customHeight="1">
      <c r="A14" s="3" t="n">
        <v>3</v>
      </c>
      <c r="B14" s="4" t="inlineStr">
        <is>
          <t>Thứ tự hiển thị</t>
        </is>
      </c>
      <c r="C14" s="9" t="inlineStr">
        <is>
          <t>order_no</t>
        </is>
      </c>
      <c r="D14" s="9" t="inlineStr">
        <is>
          <t>int(11)</t>
        </is>
      </c>
      <c r="E14" s="4" t="inlineStr"/>
      <c r="F14" s="4" t="inlineStr"/>
      <c r="G14" s="4" t="inlineStr"/>
    </row>
    <row r="15" ht="18" customHeight="1">
      <c r="A15" s="3" t="n">
        <v>4</v>
      </c>
      <c r="B15" s="4" t="inlineStr">
        <is>
          <t>Cờ vô hiệu hóa</t>
        </is>
      </c>
      <c r="C15" s="9" t="inlineStr">
        <is>
          <t>disabled_flag</t>
        </is>
      </c>
      <c r="D15" s="9" t="inlineStr">
        <is>
          <t>tinyint(1)</t>
        </is>
      </c>
      <c r="E15" s="4" t="inlineStr"/>
      <c r="F15" s="4" t="inlineStr">
        <is>
          <t>0</t>
        </is>
      </c>
      <c r="G15" s="4" t="inlineStr"/>
    </row>
    <row r="16" ht="18" customHeight="1">
      <c r="A16" s="3" t="n">
        <v>5</v>
      </c>
      <c r="B16" s="4" t="inlineStr">
        <is>
          <t>Ngày tạo</t>
        </is>
      </c>
      <c r="C16" s="9" t="inlineStr">
        <is>
          <t>created</t>
        </is>
      </c>
      <c r="D16" s="9" t="inlineStr">
        <is>
          <t>datetime</t>
        </is>
      </c>
      <c r="E16" s="4" t="inlineStr"/>
      <c r="F16" s="4" t="inlineStr"/>
      <c r="G16" s="4" t="inlineStr"/>
    </row>
    <row r="17" ht="18" customHeight="1">
      <c r="A17" s="3" t="n">
        <v>6</v>
      </c>
      <c r="B17" s="4" t="inlineStr">
        <is>
          <t>ID người tạo</t>
        </is>
      </c>
      <c r="C17" s="9" t="inlineStr">
        <is>
          <t>created_user_id</t>
        </is>
      </c>
      <c r="D17" s="9" t="inlineStr">
        <is>
          <t>int(11)</t>
        </is>
      </c>
      <c r="E17" s="4" t="inlineStr"/>
      <c r="F17" s="4" t="inlineStr"/>
      <c r="G17" s="4" t="inlineStr"/>
    </row>
    <row r="18" ht="18" customHeight="1">
      <c r="A18" s="3" t="n">
        <v>7</v>
      </c>
      <c r="B18" s="4" t="inlineStr">
        <is>
          <t>Ngày cập nhật</t>
        </is>
      </c>
      <c r="C18" s="9" t="inlineStr">
        <is>
          <t>modified</t>
        </is>
      </c>
      <c r="D18" s="9" t="inlineStr">
        <is>
          <t>datetime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ID người cập nhật</t>
        </is>
      </c>
      <c r="C19" s="9" t="inlineStr">
        <is>
          <t>modified_user_id</t>
        </is>
      </c>
      <c r="D19" s="9" t="inlineStr">
        <is>
          <t>int(11)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Ngày xóa</t>
        </is>
      </c>
      <c r="C20" s="9" t="inlineStr">
        <is>
          <t>deleted</t>
        </is>
      </c>
      <c r="D20" s="9" t="inlineStr">
        <is>
          <t>datetime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Cờ đã xóa</t>
        </is>
      </c>
      <c r="C21" s="9" t="inlineStr">
        <is>
          <t>deleted_flag</t>
        </is>
      </c>
      <c r="D21" s="9" t="inlineStr">
        <is>
          <t>tinyint(1)</t>
        </is>
      </c>
      <c r="E21" s="4" t="inlineStr"/>
      <c r="F21" s="4" t="inlineStr">
        <is>
          <t>0</t>
        </is>
      </c>
      <c r="G21" s="4" t="inlineStr"/>
    </row>
    <row r="23">
      <c r="A23" s="8" t="inlineStr">
        <is>
          <t>THÔNG TIN INDEX</t>
        </is>
      </c>
    </row>
    <row r="24">
      <c r="A24" s="2" t="inlineStr">
        <is>
          <t>No</t>
        </is>
      </c>
      <c r="B24" s="2" t="inlineStr">
        <is>
          <t>Tên index</t>
        </is>
      </c>
      <c r="C24" s="2" t="inlineStr">
        <is>
          <t>Danh sách cột</t>
        </is>
      </c>
      <c r="D24" s="2" t="inlineStr"/>
      <c r="E24" s="2" t="inlineStr">
        <is>
          <t>Khóa chính</t>
        </is>
      </c>
      <c r="F24" s="2" t="inlineStr">
        <is>
          <t>Unique</t>
        </is>
      </c>
      <c r="G24" s="2" t="inlineStr">
        <is>
          <t>Ghi chú</t>
        </is>
      </c>
    </row>
    <row r="25">
      <c r="A25" s="10" t="n">
        <v>1</v>
      </c>
      <c r="B25" s="10" t="inlineStr">
        <is>
          <t>PRIMARY</t>
        </is>
      </c>
      <c r="C25" s="10" t="inlineStr">
        <is>
          <t>id</t>
        </is>
      </c>
      <c r="D25" s="10" t="inlineStr"/>
      <c r="E25" s="10" t="inlineStr">
        <is>
          <t>Yes</t>
        </is>
      </c>
      <c r="F25" s="10" t="inlineStr">
        <is>
          <t>Yes</t>
        </is>
      </c>
      <c r="G25" s="10" t="inlineStr"/>
    </row>
    <row r="27">
      <c r="A27" s="8" t="inlineStr">
        <is>
          <t>THÔNG TIN KHÓA NGOẠI</t>
        </is>
      </c>
    </row>
    <row r="28">
      <c r="A28" s="2" t="inlineStr">
        <is>
          <t>No</t>
        </is>
      </c>
      <c r="B28" s="2" t="inlineStr">
        <is>
          <t>Tên FK</t>
        </is>
      </c>
      <c r="C28" s="2" t="inlineStr">
        <is>
          <t>Cột</t>
        </is>
      </c>
      <c r="D28" s="2" t="inlineStr"/>
      <c r="E28" s="2" t="inlineStr">
        <is>
          <t>Bảng tham chiếu</t>
        </is>
      </c>
      <c r="F28" s="2" t="inlineStr"/>
      <c r="G28" s="2" t="inlineStr">
        <is>
          <t>Cột tham chiếu</t>
        </is>
      </c>
    </row>
  </sheetData>
  <mergeCells count="29">
    <mergeCell ref="D4"/>
    <mergeCell ref="A4"/>
    <mergeCell ref="D3"/>
    <mergeCell ref="B7:C7"/>
    <mergeCell ref="B3:C3"/>
    <mergeCell ref="E5:F5"/>
    <mergeCell ref="D5"/>
    <mergeCell ref="A10:G10"/>
    <mergeCell ref="E4:F4"/>
    <mergeCell ref="B2:C2"/>
    <mergeCell ref="A9:G9"/>
    <mergeCell ref="A6"/>
    <mergeCell ref="E6:F6"/>
    <mergeCell ref="A1:G1"/>
    <mergeCell ref="E2:F2"/>
    <mergeCell ref="A7"/>
    <mergeCell ref="D6"/>
    <mergeCell ref="D2"/>
    <mergeCell ref="B6:C6"/>
    <mergeCell ref="A27:G27"/>
    <mergeCell ref="A3"/>
    <mergeCell ref="E7:F7"/>
    <mergeCell ref="B5:C5"/>
    <mergeCell ref="D7"/>
    <mergeCell ref="A2"/>
    <mergeCell ref="E3:F3"/>
    <mergeCell ref="B4:C4"/>
    <mergeCell ref="A5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Hàng hóa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products</t>
        </is>
      </c>
      <c r="D6" s="7" t="inlineStr"/>
      <c r="E6" s="4" t="inlineStr"/>
    </row>
    <row r="7">
      <c r="A7" s="7" t="inlineStr">
        <is>
          <t>Ghi chú</t>
        </is>
      </c>
      <c r="B7" s="4" t="inlineStr"/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ID danh mục</t>
        </is>
      </c>
      <c r="C13" s="9" t="inlineStr">
        <is>
          <t>product_category_id</t>
        </is>
      </c>
      <c r="D13" s="9" t="inlineStr">
        <is>
          <t>int(11)</t>
        </is>
      </c>
      <c r="E13" s="4" t="inlineStr">
        <is>
          <t>Yes</t>
        </is>
      </c>
      <c r="F13" s="4" t="inlineStr"/>
      <c r="G13" s="4">
        <f>product_categories.id</f>
        <v/>
      </c>
    </row>
    <row r="14" ht="18" customHeight="1">
      <c r="A14" s="3" t="n">
        <v>3</v>
      </c>
      <c r="B14" s="4" t="inlineStr">
        <is>
          <t>Mã hàng hóa</t>
        </is>
      </c>
      <c r="C14" s="9" t="inlineStr">
        <is>
          <t>product_cd</t>
        </is>
      </c>
      <c r="D14" s="9" t="inlineStr">
        <is>
          <t>varchar(50)</t>
        </is>
      </c>
      <c r="E14" s="4" t="inlineStr"/>
      <c r="F14" s="4" t="inlineStr"/>
      <c r="G14" s="4" t="inlineStr"/>
    </row>
    <row r="15" ht="18" customHeight="1">
      <c r="A15" s="3" t="n">
        <v>4</v>
      </c>
      <c r="B15" s="4" t="inlineStr">
        <is>
          <t>Tên hàng hóa (VN)</t>
        </is>
      </c>
      <c r="C15" s="9" t="inlineStr">
        <is>
          <t>product_name</t>
        </is>
      </c>
      <c r="D15" s="9" t="inlineStr">
        <is>
          <t>varchar(255)</t>
        </is>
      </c>
      <c r="E15" s="4" t="inlineStr">
        <is>
          <t>Yes</t>
        </is>
      </c>
      <c r="F15" s="4" t="inlineStr"/>
      <c r="G15" s="4" t="inlineStr"/>
    </row>
    <row r="16" ht="18" customHeight="1">
      <c r="A16" s="3" t="n">
        <v>5</v>
      </c>
      <c r="B16" s="4" t="inlineStr">
        <is>
          <t>Tên hàng hóa (JP)</t>
        </is>
      </c>
      <c r="C16" s="9" t="inlineStr">
        <is>
          <t>product_name_jp</t>
        </is>
      </c>
      <c r="D16" s="9" t="inlineStr">
        <is>
          <t>varchar(255)</t>
        </is>
      </c>
      <c r="E16" s="4" t="inlineStr"/>
      <c r="F16" s="4" t="inlineStr"/>
      <c r="G16" s="4" t="inlineStr">
        <is>
          <t>Tên tiếng Nhật</t>
        </is>
      </c>
    </row>
    <row r="17" ht="18" customHeight="1">
      <c r="A17" s="3" t="n">
        <v>6</v>
      </c>
      <c r="B17" s="4" t="inlineStr">
        <is>
          <t>Thông số kỹ thuật</t>
        </is>
      </c>
      <c r="C17" s="9" t="inlineStr">
        <is>
          <t>spec</t>
        </is>
      </c>
      <c r="D17" s="9" t="inlineStr">
        <is>
          <t>varchar(255)</t>
        </is>
      </c>
      <c r="E17" s="4" t="inlineStr"/>
      <c r="F17" s="4" t="inlineStr"/>
      <c r="G17" s="4" t="inlineStr"/>
    </row>
    <row r="18" ht="18" customHeight="1">
      <c r="A18" s="3" t="n">
        <v>7</v>
      </c>
      <c r="B18" s="4" t="inlineStr">
        <is>
          <t>Đơn vị tính</t>
        </is>
      </c>
      <c r="C18" s="9" t="inlineStr">
        <is>
          <t>unit</t>
        </is>
      </c>
      <c r="D18" s="9" t="inlineStr">
        <is>
          <t>varchar(20)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Giá nhập (JPY)</t>
        </is>
      </c>
      <c r="C19" s="9" t="inlineStr">
        <is>
          <t>cost_jpy</t>
        </is>
      </c>
      <c r="D19" s="9" t="inlineStr">
        <is>
          <t>int(11)</t>
        </is>
      </c>
      <c r="E19" s="4" t="inlineStr"/>
      <c r="F19" s="4" t="inlineStr"/>
      <c r="G19" s="4" t="inlineStr">
        <is>
          <t>Giá nhập tại Nhật (yên)</t>
        </is>
      </c>
    </row>
    <row r="20" ht="18" customHeight="1">
      <c r="A20" s="3" t="n">
        <v>9</v>
      </c>
      <c r="B20" s="4" t="inlineStr">
        <is>
          <t>Giá bán (VND)</t>
        </is>
      </c>
      <c r="C20" s="9" t="inlineStr">
        <is>
          <t>price_vnd</t>
        </is>
      </c>
      <c r="D20" s="9" t="inlineStr">
        <is>
          <t>bigint(20)</t>
        </is>
      </c>
      <c r="E20" s="4" t="inlineStr"/>
      <c r="F20" s="4" t="inlineStr"/>
      <c r="G20" s="4" t="inlineStr">
        <is>
          <t>Giá bán tại VN (đồng)</t>
        </is>
      </c>
    </row>
    <row r="21" ht="18" customHeight="1">
      <c r="A21" s="3" t="n">
        <v>10</v>
      </c>
      <c r="B21" s="4" t="inlineStr">
        <is>
          <t>ID nhà cung cấp</t>
        </is>
      </c>
      <c r="C21" s="9" t="inlineStr">
        <is>
          <t>supplier_id</t>
        </is>
      </c>
      <c r="D21" s="9" t="inlineStr">
        <is>
          <t>int(11)</t>
        </is>
      </c>
      <c r="E21" s="4" t="inlineStr"/>
      <c r="F21" s="4" t="inlineStr"/>
      <c r="G21" s="4">
        <f>suppliers_jp.id</f>
        <v/>
      </c>
    </row>
    <row r="22" ht="18" customHeight="1">
      <c r="A22" s="3" t="n">
        <v>11</v>
      </c>
      <c r="B22" s="4" t="inlineStr">
        <is>
          <t>Xuất xứ</t>
        </is>
      </c>
      <c r="C22" s="9" t="inlineStr">
        <is>
          <t>origin</t>
        </is>
      </c>
      <c r="D22" s="9" t="inlineStr">
        <is>
          <t>varchar(100)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Tỷ lệ thuế NK (%)</t>
        </is>
      </c>
      <c r="C23" s="9" t="inlineStr">
        <is>
          <t>import_tax_rate</t>
        </is>
      </c>
      <c r="D23" s="9" t="inlineStr">
        <is>
          <t>decimal(5,2)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Mô tả</t>
        </is>
      </c>
      <c r="C24" s="9" t="inlineStr">
        <is>
          <t>description</t>
        </is>
      </c>
      <c r="D24" s="9" t="inlineStr">
        <is>
          <t>text</t>
        </is>
      </c>
      <c r="E24" s="4" t="inlineStr"/>
      <c r="F24" s="4" t="inlineStr"/>
      <c r="G24" s="4" t="inlineStr"/>
    </row>
    <row r="25" ht="18" customHeight="1">
      <c r="A25" s="3" t="n">
        <v>14</v>
      </c>
      <c r="B25" s="4" t="inlineStr">
        <is>
          <t>Ảnh đại diện</t>
        </is>
      </c>
      <c r="C25" s="9" t="inlineStr">
        <is>
          <t>image_path</t>
        </is>
      </c>
      <c r="D25" s="9" t="inlineStr">
        <is>
          <t>varchar(500)</t>
        </is>
      </c>
      <c r="E25" s="4" t="inlineStr"/>
      <c r="F25" s="4" t="inlineStr"/>
      <c r="G25" s="4" t="inlineStr">
        <is>
          <t>Đường dẫn ảnh</t>
        </is>
      </c>
    </row>
    <row r="26" ht="18" customHeight="1">
      <c r="A26" s="3" t="n">
        <v>15</v>
      </c>
      <c r="B26" s="4" t="inlineStr">
        <is>
          <t>Thứ tự hiển thị</t>
        </is>
      </c>
      <c r="C26" s="9" t="inlineStr">
        <is>
          <t>order_no</t>
        </is>
      </c>
      <c r="D26" s="9" t="inlineStr">
        <is>
          <t>int(11)</t>
        </is>
      </c>
      <c r="E26" s="4" t="inlineStr"/>
      <c r="F26" s="4" t="inlineStr"/>
      <c r="G26" s="4" t="inlineStr"/>
    </row>
    <row r="27" ht="18" customHeight="1">
      <c r="A27" s="3" t="n">
        <v>16</v>
      </c>
      <c r="B27" s="4" t="inlineStr">
        <is>
          <t>Cờ bắt buộc</t>
        </is>
      </c>
      <c r="C27" s="9" t="inlineStr">
        <is>
          <t>require_flag</t>
        </is>
      </c>
      <c r="D27" s="9" t="inlineStr">
        <is>
          <t>tinyint(1)</t>
        </is>
      </c>
      <c r="E27" s="4" t="inlineStr"/>
      <c r="F27" s="4" t="inlineStr">
        <is>
          <t>0</t>
        </is>
      </c>
      <c r="G27" s="4" t="inlineStr">
        <is>
          <t>1: Bắt buộc đặt</t>
        </is>
      </c>
    </row>
    <row r="28" ht="18" customHeight="1">
      <c r="A28" s="3" t="n">
        <v>17</v>
      </c>
      <c r="B28" s="4" t="inlineStr">
        <is>
          <t>SL tối thiểu</t>
        </is>
      </c>
      <c r="C28" s="9" t="inlineStr">
        <is>
          <t>min_quantity</t>
        </is>
      </c>
      <c r="D28" s="9" t="inlineStr">
        <is>
          <t>int(11)</t>
        </is>
      </c>
      <c r="E28" s="4" t="inlineStr"/>
      <c r="F28" s="4" t="inlineStr"/>
      <c r="G28" s="4" t="inlineStr"/>
    </row>
    <row r="29" ht="18" customHeight="1">
      <c r="A29" s="3" t="n">
        <v>18</v>
      </c>
      <c r="B29" s="4" t="inlineStr">
        <is>
          <t>SL tối đa</t>
        </is>
      </c>
      <c r="C29" s="9" t="inlineStr">
        <is>
          <t>max_quantity</t>
        </is>
      </c>
      <c r="D29" s="9" t="inlineStr">
        <is>
          <t>int(11)</t>
        </is>
      </c>
      <c r="E29" s="4" t="inlineStr"/>
      <c r="F29" s="4" t="inlineStr"/>
      <c r="G29" s="4" t="inlineStr"/>
    </row>
    <row r="30" ht="18" customHeight="1">
      <c r="A30" s="3" t="n">
        <v>19</v>
      </c>
      <c r="B30" s="4" t="inlineStr">
        <is>
          <t>Ghi chú</t>
        </is>
      </c>
      <c r="C30" s="9" t="inlineStr">
        <is>
          <t>memo</t>
        </is>
      </c>
      <c r="D30" s="9" t="inlineStr">
        <is>
          <t>text</t>
        </is>
      </c>
      <c r="E30" s="4" t="inlineStr"/>
      <c r="F30" s="4" t="inlineStr"/>
      <c r="G30" s="4" t="inlineStr"/>
    </row>
    <row r="31" ht="18" customHeight="1">
      <c r="A31" s="3" t="n">
        <v>20</v>
      </c>
      <c r="B31" s="4" t="inlineStr">
        <is>
          <t>Cờ vô hiệu hóa</t>
        </is>
      </c>
      <c r="C31" s="9" t="inlineStr">
        <is>
          <t>disabled_flag</t>
        </is>
      </c>
      <c r="D31" s="9" t="inlineStr">
        <is>
          <t>tinyint(1)</t>
        </is>
      </c>
      <c r="E31" s="4" t="inlineStr"/>
      <c r="F31" s="4" t="inlineStr">
        <is>
          <t>0</t>
        </is>
      </c>
      <c r="G31" s="4" t="inlineStr"/>
    </row>
    <row r="32" ht="18" customHeight="1">
      <c r="A32" s="3" t="n">
        <v>21</v>
      </c>
      <c r="B32" s="4" t="inlineStr">
        <is>
          <t>Ngày tạo</t>
        </is>
      </c>
      <c r="C32" s="9" t="inlineStr">
        <is>
          <t>created</t>
        </is>
      </c>
      <c r="D32" s="9" t="inlineStr">
        <is>
          <t>datetime</t>
        </is>
      </c>
      <c r="E32" s="4" t="inlineStr"/>
      <c r="F32" s="4" t="inlineStr"/>
      <c r="G32" s="4" t="inlineStr"/>
    </row>
    <row r="33" ht="18" customHeight="1">
      <c r="A33" s="3" t="n">
        <v>22</v>
      </c>
      <c r="B33" s="4" t="inlineStr">
        <is>
          <t>ID người tạo</t>
        </is>
      </c>
      <c r="C33" s="9" t="inlineStr">
        <is>
          <t>created_user_id</t>
        </is>
      </c>
      <c r="D33" s="9" t="inlineStr">
        <is>
          <t>int(11)</t>
        </is>
      </c>
      <c r="E33" s="4" t="inlineStr"/>
      <c r="F33" s="4" t="inlineStr"/>
      <c r="G33" s="4" t="inlineStr"/>
    </row>
    <row r="34" ht="18" customHeight="1">
      <c r="A34" s="3" t="n">
        <v>23</v>
      </c>
      <c r="B34" s="4" t="inlineStr">
        <is>
          <t>Ngày cập nhật</t>
        </is>
      </c>
      <c r="C34" s="9" t="inlineStr">
        <is>
          <t>modified</t>
        </is>
      </c>
      <c r="D34" s="9" t="inlineStr">
        <is>
          <t>datetime</t>
        </is>
      </c>
      <c r="E34" s="4" t="inlineStr"/>
      <c r="F34" s="4" t="inlineStr"/>
      <c r="G34" s="4" t="inlineStr"/>
    </row>
    <row r="35" ht="18" customHeight="1">
      <c r="A35" s="3" t="n">
        <v>24</v>
      </c>
      <c r="B35" s="4" t="inlineStr">
        <is>
          <t>ID người cập nhật</t>
        </is>
      </c>
      <c r="C35" s="9" t="inlineStr">
        <is>
          <t>modified_user_id</t>
        </is>
      </c>
      <c r="D35" s="9" t="inlineStr">
        <is>
          <t>int(11)</t>
        </is>
      </c>
      <c r="E35" s="4" t="inlineStr"/>
      <c r="F35" s="4" t="inlineStr"/>
      <c r="G35" s="4" t="inlineStr"/>
    </row>
    <row r="36" ht="18" customHeight="1">
      <c r="A36" s="3" t="n">
        <v>25</v>
      </c>
      <c r="B36" s="4" t="inlineStr">
        <is>
          <t>Ngày xóa</t>
        </is>
      </c>
      <c r="C36" s="9" t="inlineStr">
        <is>
          <t>deleted</t>
        </is>
      </c>
      <c r="D36" s="9" t="inlineStr">
        <is>
          <t>datetime</t>
        </is>
      </c>
      <c r="E36" s="4" t="inlineStr"/>
      <c r="F36" s="4" t="inlineStr"/>
      <c r="G36" s="4" t="inlineStr"/>
    </row>
    <row r="37" ht="18" customHeight="1">
      <c r="A37" s="3" t="n">
        <v>26</v>
      </c>
      <c r="B37" s="4" t="inlineStr">
        <is>
          <t>Cờ đã xóa</t>
        </is>
      </c>
      <c r="C37" s="9" t="inlineStr">
        <is>
          <t>deleted_flag</t>
        </is>
      </c>
      <c r="D37" s="9" t="inlineStr">
        <is>
          <t>tinyint(1)</t>
        </is>
      </c>
      <c r="E37" s="4" t="inlineStr"/>
      <c r="F37" s="4" t="inlineStr">
        <is>
          <t>0</t>
        </is>
      </c>
      <c r="G37" s="4" t="inlineStr"/>
    </row>
    <row r="39">
      <c r="A39" s="8" t="inlineStr">
        <is>
          <t>THÔNG TIN INDEX</t>
        </is>
      </c>
    </row>
    <row r="40">
      <c r="A40" s="2" t="inlineStr">
        <is>
          <t>No</t>
        </is>
      </c>
      <c r="B40" s="2" t="inlineStr">
        <is>
          <t>Tên index</t>
        </is>
      </c>
      <c r="C40" s="2" t="inlineStr">
        <is>
          <t>Danh sách cột</t>
        </is>
      </c>
      <c r="D40" s="2" t="inlineStr"/>
      <c r="E40" s="2" t="inlineStr">
        <is>
          <t>Khóa chính</t>
        </is>
      </c>
      <c r="F40" s="2" t="inlineStr">
        <is>
          <t>Unique</t>
        </is>
      </c>
      <c r="G40" s="2" t="inlineStr">
        <is>
          <t>Ghi chú</t>
        </is>
      </c>
    </row>
    <row r="41">
      <c r="A41" s="10" t="n">
        <v>1</v>
      </c>
      <c r="B41" s="10" t="inlineStr">
        <is>
          <t>PRIMARY</t>
        </is>
      </c>
      <c r="C41" s="10" t="inlineStr">
        <is>
          <t>id</t>
        </is>
      </c>
      <c r="D41" s="10" t="inlineStr"/>
      <c r="E41" s="10" t="inlineStr">
        <is>
          <t>Yes</t>
        </is>
      </c>
      <c r="F41" s="10" t="inlineStr">
        <is>
          <t>Yes</t>
        </is>
      </c>
      <c r="G41" s="10" t="inlineStr"/>
    </row>
    <row r="43">
      <c r="A43" s="8" t="inlineStr">
        <is>
          <t>THÔNG TIN KHÓA NGOẠI</t>
        </is>
      </c>
    </row>
    <row r="44">
      <c r="A44" s="2" t="inlineStr">
        <is>
          <t>No</t>
        </is>
      </c>
      <c r="B44" s="2" t="inlineStr">
        <is>
          <t>Tên FK</t>
        </is>
      </c>
      <c r="C44" s="2" t="inlineStr">
        <is>
          <t>Cột</t>
        </is>
      </c>
      <c r="D44" s="2" t="inlineStr"/>
      <c r="E44" s="2" t="inlineStr">
        <is>
          <t>Bảng tham chiếu</t>
        </is>
      </c>
      <c r="F44" s="2" t="inlineStr"/>
      <c r="G44" s="2" t="inlineStr">
        <is>
          <t>Cột tham chiếu</t>
        </is>
      </c>
    </row>
    <row r="45">
      <c r="A45" s="3" t="n">
        <v>1</v>
      </c>
      <c r="B45" s="4" t="inlineStr">
        <is>
          <t>fk_products_category</t>
        </is>
      </c>
      <c r="C45" s="4" t="inlineStr">
        <is>
          <t>product_category_id</t>
        </is>
      </c>
      <c r="D45" s="4" t="inlineStr"/>
      <c r="E45" s="4" t="inlineStr">
        <is>
          <t>product_categories</t>
        </is>
      </c>
      <c r="F45" s="4" t="inlineStr"/>
      <c r="G45" s="4" t="inlineStr">
        <is>
          <t>id</t>
        </is>
      </c>
    </row>
    <row r="46">
      <c r="A46" s="3" t="n">
        <v>2</v>
      </c>
      <c r="B46" s="4" t="inlineStr">
        <is>
          <t>fk_products_supplier</t>
        </is>
      </c>
      <c r="C46" s="4" t="inlineStr">
        <is>
          <t>supplier_id</t>
        </is>
      </c>
      <c r="D46" s="4" t="inlineStr"/>
      <c r="E46" s="4" t="inlineStr">
        <is>
          <t>suppliers_jp</t>
        </is>
      </c>
      <c r="F46" s="4" t="inlineStr"/>
      <c r="G46" s="4" t="inlineStr">
        <is>
          <t>id</t>
        </is>
      </c>
    </row>
  </sheetData>
  <mergeCells count="29">
    <mergeCell ref="D4"/>
    <mergeCell ref="A4"/>
    <mergeCell ref="D3"/>
    <mergeCell ref="B7:C7"/>
    <mergeCell ref="B3:C3"/>
    <mergeCell ref="E5:F5"/>
    <mergeCell ref="A43:G43"/>
    <mergeCell ref="D5"/>
    <mergeCell ref="A10:G10"/>
    <mergeCell ref="E4:F4"/>
    <mergeCell ref="B2:C2"/>
    <mergeCell ref="A9:G9"/>
    <mergeCell ref="A39:G39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"/>
    <mergeCell ref="E3:F3"/>
    <mergeCell ref="B4:C4"/>
    <mergeCell ref="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Kho hàng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warehouses</t>
        </is>
      </c>
      <c r="D6" s="7" t="inlineStr"/>
      <c r="E6" s="4" t="inlineStr"/>
    </row>
    <row r="7">
      <c r="A7" s="7" t="inlineStr">
        <is>
          <t>Ghi chú</t>
        </is>
      </c>
      <c r="B7" s="4" t="inlineStr"/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Mã kho</t>
        </is>
      </c>
      <c r="C13" s="9" t="inlineStr">
        <is>
          <t>warehouse_cd</t>
        </is>
      </c>
      <c r="D13" s="9" t="inlineStr">
        <is>
          <t>varchar(50)</t>
        </is>
      </c>
      <c r="E13" s="4" t="inlineStr"/>
      <c r="F13" s="4" t="inlineStr"/>
      <c r="G13" s="4" t="inlineStr"/>
    </row>
    <row r="14" ht="18" customHeight="1">
      <c r="A14" s="3" t="n">
        <v>3</v>
      </c>
      <c r="B14" s="4" t="inlineStr">
        <is>
          <t>Tên kho</t>
        </is>
      </c>
      <c r="C14" s="9" t="inlineStr">
        <is>
          <t>warehouse_name</t>
        </is>
      </c>
      <c r="D14" s="9" t="inlineStr">
        <is>
          <t>varchar(255)</t>
        </is>
      </c>
      <c r="E14" s="4" t="inlineStr">
        <is>
          <t>Yes</t>
        </is>
      </c>
      <c r="F14" s="4" t="inlineStr"/>
      <c r="G14" s="4" t="inlineStr"/>
    </row>
    <row r="15" ht="18" customHeight="1">
      <c r="A15" s="3" t="n">
        <v>4</v>
      </c>
      <c r="B15" s="4" t="inlineStr">
        <is>
          <t>Địa chỉ kho</t>
        </is>
      </c>
      <c r="C15" s="9" t="inlineStr">
        <is>
          <t>address</t>
        </is>
      </c>
      <c r="D15" s="9" t="inlineStr">
        <is>
          <t>varchar(500)</t>
        </is>
      </c>
      <c r="E15" s="4" t="inlineStr"/>
      <c r="F15" s="4" t="inlineStr"/>
      <c r="G15" s="4" t="inlineStr"/>
    </row>
    <row r="16" ht="18" customHeight="1">
      <c r="A16" s="3" t="n">
        <v>5</v>
      </c>
      <c r="B16" s="4" t="inlineStr">
        <is>
          <t>Quốc gia</t>
        </is>
      </c>
      <c r="C16" s="9" t="inlineStr">
        <is>
          <t>country</t>
        </is>
      </c>
      <c r="D16" s="9" t="inlineStr">
        <is>
          <t>varchar(10)</t>
        </is>
      </c>
      <c r="E16" s="4" t="inlineStr"/>
      <c r="F16" s="4" t="inlineStr">
        <is>
          <t>VN</t>
        </is>
      </c>
      <c r="G16" s="4" t="inlineStr">
        <is>
          <t>JP hoặc VN</t>
        </is>
      </c>
    </row>
    <row r="17" ht="18" customHeight="1">
      <c r="A17" s="3" t="n">
        <v>6</v>
      </c>
      <c r="B17" s="4" t="inlineStr">
        <is>
          <t>Người quản lý</t>
        </is>
      </c>
      <c r="C17" s="9" t="inlineStr">
        <is>
          <t>manager_name</t>
        </is>
      </c>
      <c r="D17" s="9" t="inlineStr">
        <is>
          <t>varchar(100)</t>
        </is>
      </c>
      <c r="E17" s="4" t="inlineStr"/>
      <c r="F17" s="4" t="inlineStr"/>
      <c r="G17" s="4" t="inlineStr"/>
    </row>
    <row r="18" ht="18" customHeight="1">
      <c r="A18" s="3" t="n">
        <v>7</v>
      </c>
      <c r="B18" s="4" t="inlineStr">
        <is>
          <t>Điện thoại</t>
        </is>
      </c>
      <c r="C18" s="9" t="inlineStr">
        <is>
          <t>tel</t>
        </is>
      </c>
      <c r="D18" s="9" t="inlineStr">
        <is>
          <t>varchar(20)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Cờ vô hiệu hóa</t>
        </is>
      </c>
      <c r="C19" s="9" t="inlineStr">
        <is>
          <t>disabled_flag</t>
        </is>
      </c>
      <c r="D19" s="9" t="inlineStr">
        <is>
          <t>tinyint(1)</t>
        </is>
      </c>
      <c r="E19" s="4" t="inlineStr"/>
      <c r="F19" s="4" t="inlineStr">
        <is>
          <t>0</t>
        </is>
      </c>
      <c r="G19" s="4" t="inlineStr"/>
    </row>
    <row r="20" ht="18" customHeight="1">
      <c r="A20" s="3" t="n">
        <v>9</v>
      </c>
      <c r="B20" s="4" t="inlineStr">
        <is>
          <t>Ngày tạo</t>
        </is>
      </c>
      <c r="C20" s="9" t="inlineStr">
        <is>
          <t>created</t>
        </is>
      </c>
      <c r="D20" s="9" t="inlineStr">
        <is>
          <t>datetime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ID người tạo</t>
        </is>
      </c>
      <c r="C21" s="9" t="inlineStr">
        <is>
          <t>created_user_id</t>
        </is>
      </c>
      <c r="D21" s="9" t="inlineStr">
        <is>
          <t>int(11)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Ngày cập nhật</t>
        </is>
      </c>
      <c r="C22" s="9" t="inlineStr">
        <is>
          <t>modified</t>
        </is>
      </c>
      <c r="D22" s="9" t="inlineStr">
        <is>
          <t>datetime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ID người cập nhật</t>
        </is>
      </c>
      <c r="C23" s="9" t="inlineStr">
        <is>
          <t>modified_user_id</t>
        </is>
      </c>
      <c r="D23" s="9" t="inlineStr">
        <is>
          <t>int(11)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Ngày xóa</t>
        </is>
      </c>
      <c r="C24" s="9" t="inlineStr">
        <is>
          <t>deleted</t>
        </is>
      </c>
      <c r="D24" s="9" t="inlineStr">
        <is>
          <t>datetime</t>
        </is>
      </c>
      <c r="E24" s="4" t="inlineStr"/>
      <c r="F24" s="4" t="inlineStr"/>
      <c r="G24" s="4" t="inlineStr"/>
    </row>
    <row r="25" ht="18" customHeight="1">
      <c r="A25" s="3" t="n">
        <v>14</v>
      </c>
      <c r="B25" s="4" t="inlineStr">
        <is>
          <t>Cờ đã xóa</t>
        </is>
      </c>
      <c r="C25" s="9" t="inlineStr">
        <is>
          <t>deleted_flag</t>
        </is>
      </c>
      <c r="D25" s="9" t="inlineStr">
        <is>
          <t>tinyint(1)</t>
        </is>
      </c>
      <c r="E25" s="4" t="inlineStr"/>
      <c r="F25" s="4" t="inlineStr">
        <is>
          <t>0</t>
        </is>
      </c>
      <c r="G25" s="4" t="inlineStr"/>
    </row>
    <row r="27">
      <c r="A27" s="8" t="inlineStr">
        <is>
          <t>THÔNG TIN INDEX</t>
        </is>
      </c>
    </row>
    <row r="28">
      <c r="A28" s="2" t="inlineStr">
        <is>
          <t>No</t>
        </is>
      </c>
      <c r="B28" s="2" t="inlineStr">
        <is>
          <t>Tên index</t>
        </is>
      </c>
      <c r="C28" s="2" t="inlineStr">
        <is>
          <t>Danh sách cột</t>
        </is>
      </c>
      <c r="D28" s="2" t="inlineStr"/>
      <c r="E28" s="2" t="inlineStr">
        <is>
          <t>Khóa chính</t>
        </is>
      </c>
      <c r="F28" s="2" t="inlineStr">
        <is>
          <t>Unique</t>
        </is>
      </c>
      <c r="G28" s="2" t="inlineStr">
        <is>
          <t>Ghi chú</t>
        </is>
      </c>
    </row>
    <row r="29">
      <c r="A29" s="10" t="n">
        <v>1</v>
      </c>
      <c r="B29" s="10" t="inlineStr">
        <is>
          <t>PRIMARY</t>
        </is>
      </c>
      <c r="C29" s="10" t="inlineStr">
        <is>
          <t>id</t>
        </is>
      </c>
      <c r="D29" s="10" t="inlineStr"/>
      <c r="E29" s="10" t="inlineStr">
        <is>
          <t>Yes</t>
        </is>
      </c>
      <c r="F29" s="10" t="inlineStr">
        <is>
          <t>Yes</t>
        </is>
      </c>
      <c r="G29" s="10" t="inlineStr"/>
    </row>
    <row r="31">
      <c r="A31" s="8" t="inlineStr">
        <is>
          <t>THÔNG TIN KHÓA NGOẠI</t>
        </is>
      </c>
    </row>
    <row r="32">
      <c r="A32" s="2" t="inlineStr">
        <is>
          <t>No</t>
        </is>
      </c>
      <c r="B32" s="2" t="inlineStr">
        <is>
          <t>Tên FK</t>
        </is>
      </c>
      <c r="C32" s="2" t="inlineStr">
        <is>
          <t>Cột</t>
        </is>
      </c>
      <c r="D32" s="2" t="inlineStr"/>
      <c r="E32" s="2" t="inlineStr">
        <is>
          <t>Bảng tham chiếu</t>
        </is>
      </c>
      <c r="F32" s="2" t="inlineStr"/>
      <c r="G32" s="2" t="inlineStr">
        <is>
          <t>Cột tham chiếu</t>
        </is>
      </c>
    </row>
  </sheetData>
  <mergeCells count="29">
    <mergeCell ref="D4"/>
    <mergeCell ref="A4"/>
    <mergeCell ref="D3"/>
    <mergeCell ref="B7:C7"/>
    <mergeCell ref="B3:C3"/>
    <mergeCell ref="E5:F5"/>
    <mergeCell ref="D5"/>
    <mergeCell ref="A10:G10"/>
    <mergeCell ref="E4:F4"/>
    <mergeCell ref="B2:C2"/>
    <mergeCell ref="A9:G9"/>
    <mergeCell ref="A31:G31"/>
    <mergeCell ref="A6"/>
    <mergeCell ref="E6:F6"/>
    <mergeCell ref="A1:G1"/>
    <mergeCell ref="E2:F2"/>
    <mergeCell ref="A7"/>
    <mergeCell ref="D6"/>
    <mergeCell ref="D2"/>
    <mergeCell ref="B6:C6"/>
    <mergeCell ref="A27:G27"/>
    <mergeCell ref="A3"/>
    <mergeCell ref="E7:F7"/>
    <mergeCell ref="B5:C5"/>
    <mergeCell ref="D7"/>
    <mergeCell ref="A2"/>
    <mergeCell ref="E3:F3"/>
    <mergeCell ref="B4:C4"/>
    <mergeCell ref="A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Tồn kho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inventories</t>
        </is>
      </c>
      <c r="D6" s="7" t="inlineStr"/>
      <c r="E6" s="4" t="inlineStr"/>
    </row>
    <row r="7">
      <c r="A7" s="7" t="inlineStr">
        <is>
          <t>Ghi chú</t>
        </is>
      </c>
      <c r="B7" s="4" t="inlineStr"/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ID hàng hóa</t>
        </is>
      </c>
      <c r="C13" s="9" t="inlineStr">
        <is>
          <t>product_id</t>
        </is>
      </c>
      <c r="D13" s="9" t="inlineStr">
        <is>
          <t>int(11)</t>
        </is>
      </c>
      <c r="E13" s="4" t="inlineStr">
        <is>
          <t>Yes</t>
        </is>
      </c>
      <c r="F13" s="4" t="inlineStr"/>
      <c r="G13" s="4">
        <f>products.id</f>
        <v/>
      </c>
    </row>
    <row r="14" ht="18" customHeight="1">
      <c r="A14" s="3" t="n">
        <v>3</v>
      </c>
      <c r="B14" s="4" t="inlineStr">
        <is>
          <t>ID kho</t>
        </is>
      </c>
      <c r="C14" s="9" t="inlineStr">
        <is>
          <t>warehouse_id</t>
        </is>
      </c>
      <c r="D14" s="9" t="inlineStr">
        <is>
          <t>int(11)</t>
        </is>
      </c>
      <c r="E14" s="4" t="inlineStr">
        <is>
          <t>Yes</t>
        </is>
      </c>
      <c r="F14" s="4" t="inlineStr"/>
      <c r="G14" s="4">
        <f>warehouses.id</f>
        <v/>
      </c>
    </row>
    <row r="15" ht="18" customHeight="1">
      <c r="A15" s="3" t="n">
        <v>4</v>
      </c>
      <c r="B15" s="4" t="inlineStr">
        <is>
          <t>Số lượng tồn</t>
        </is>
      </c>
      <c r="C15" s="9" t="inlineStr">
        <is>
          <t>quantity</t>
        </is>
      </c>
      <c r="D15" s="9" t="inlineStr">
        <is>
          <t>int(11)</t>
        </is>
      </c>
      <c r="E15" s="4" t="inlineStr"/>
      <c r="F15" s="4" t="inlineStr">
        <is>
          <t>0</t>
        </is>
      </c>
      <c r="G15" s="4" t="inlineStr"/>
    </row>
    <row r="16" ht="18" customHeight="1">
      <c r="A16" s="3" t="n">
        <v>5</v>
      </c>
      <c r="B16" s="4" t="inlineStr">
        <is>
          <t>Số lượng đặt hàng</t>
        </is>
      </c>
      <c r="C16" s="9" t="inlineStr">
        <is>
          <t>reserved_qty</t>
        </is>
      </c>
      <c r="D16" s="9" t="inlineStr">
        <is>
          <t>int(11)</t>
        </is>
      </c>
      <c r="E16" s="4" t="inlineStr"/>
      <c r="F16" s="4" t="inlineStr">
        <is>
          <t>0</t>
        </is>
      </c>
      <c r="G16" s="4" t="inlineStr">
        <is>
          <t>SL đã đặt chưa xuất</t>
        </is>
      </c>
    </row>
    <row r="17" ht="18" customHeight="1">
      <c r="A17" s="3" t="n">
        <v>6</v>
      </c>
      <c r="B17" s="4" t="inlineStr">
        <is>
          <t>Số lượng thực tế</t>
        </is>
      </c>
      <c r="C17" s="9" t="inlineStr">
        <is>
          <t>actual_qty</t>
        </is>
      </c>
      <c r="D17" s="9" t="inlineStr">
        <is>
          <t>int(11)</t>
        </is>
      </c>
      <c r="E17" s="4" t="inlineStr"/>
      <c r="F17" s="4" t="inlineStr">
        <is>
          <t>0</t>
        </is>
      </c>
      <c r="G17" s="4" t="inlineStr">
        <is>
          <t>Sau khi kiểm kê</t>
        </is>
      </c>
    </row>
    <row r="18" ht="18" customHeight="1">
      <c r="A18" s="3" t="n">
        <v>7</v>
      </c>
      <c r="B18" s="4" t="inlineStr">
        <is>
          <t>Ngày kiểm kê</t>
        </is>
      </c>
      <c r="C18" s="9" t="inlineStr">
        <is>
          <t>last_check_date</t>
        </is>
      </c>
      <c r="D18" s="9" t="inlineStr">
        <is>
          <t>date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Ghi chú</t>
        </is>
      </c>
      <c r="C19" s="9" t="inlineStr">
        <is>
          <t>memo</t>
        </is>
      </c>
      <c r="D19" s="9" t="inlineStr">
        <is>
          <t>text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Ngày tạo</t>
        </is>
      </c>
      <c r="C20" s="9" t="inlineStr">
        <is>
          <t>created</t>
        </is>
      </c>
      <c r="D20" s="9" t="inlineStr">
        <is>
          <t>datetime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ID người tạo</t>
        </is>
      </c>
      <c r="C21" s="9" t="inlineStr">
        <is>
          <t>created_user_id</t>
        </is>
      </c>
      <c r="D21" s="9" t="inlineStr">
        <is>
          <t>int(11)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Ngày cập nhật</t>
        </is>
      </c>
      <c r="C22" s="9" t="inlineStr">
        <is>
          <t>modified</t>
        </is>
      </c>
      <c r="D22" s="9" t="inlineStr">
        <is>
          <t>datetime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ID người cập nhật</t>
        </is>
      </c>
      <c r="C23" s="9" t="inlineStr">
        <is>
          <t>modified_user_id</t>
        </is>
      </c>
      <c r="D23" s="9" t="inlineStr">
        <is>
          <t>int(11)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Ngày xóa</t>
        </is>
      </c>
      <c r="C24" s="9" t="inlineStr">
        <is>
          <t>deleted</t>
        </is>
      </c>
      <c r="D24" s="9" t="inlineStr">
        <is>
          <t>datetime</t>
        </is>
      </c>
      <c r="E24" s="4" t="inlineStr"/>
      <c r="F24" s="4" t="inlineStr"/>
      <c r="G24" s="4" t="inlineStr"/>
    </row>
    <row r="25" ht="18" customHeight="1">
      <c r="A25" s="3" t="n">
        <v>14</v>
      </c>
      <c r="B25" s="4" t="inlineStr">
        <is>
          <t>Cờ đã xóa</t>
        </is>
      </c>
      <c r="C25" s="9" t="inlineStr">
        <is>
          <t>deleted_flag</t>
        </is>
      </c>
      <c r="D25" s="9" t="inlineStr">
        <is>
          <t>tinyint(1)</t>
        </is>
      </c>
      <c r="E25" s="4" t="inlineStr"/>
      <c r="F25" s="4" t="inlineStr">
        <is>
          <t>0</t>
        </is>
      </c>
      <c r="G25" s="4" t="inlineStr"/>
    </row>
    <row r="27">
      <c r="A27" s="8" t="inlineStr">
        <is>
          <t>THÔNG TIN INDEX</t>
        </is>
      </c>
    </row>
    <row r="28">
      <c r="A28" s="2" t="inlineStr">
        <is>
          <t>No</t>
        </is>
      </c>
      <c r="B28" s="2" t="inlineStr">
        <is>
          <t>Tên index</t>
        </is>
      </c>
      <c r="C28" s="2" t="inlineStr">
        <is>
          <t>Danh sách cột</t>
        </is>
      </c>
      <c r="D28" s="2" t="inlineStr"/>
      <c r="E28" s="2" t="inlineStr">
        <is>
          <t>Khóa chính</t>
        </is>
      </c>
      <c r="F28" s="2" t="inlineStr">
        <is>
          <t>Unique</t>
        </is>
      </c>
      <c r="G28" s="2" t="inlineStr">
        <is>
          <t>Ghi chú</t>
        </is>
      </c>
    </row>
    <row r="29">
      <c r="A29" s="10" t="n">
        <v>1</v>
      </c>
      <c r="B29" s="10" t="inlineStr">
        <is>
          <t>PRIMARY</t>
        </is>
      </c>
      <c r="C29" s="10" t="inlineStr">
        <is>
          <t>id</t>
        </is>
      </c>
      <c r="D29" s="10" t="inlineStr"/>
      <c r="E29" s="10" t="inlineStr">
        <is>
          <t>Yes</t>
        </is>
      </c>
      <c r="F29" s="10" t="inlineStr">
        <is>
          <t>Yes</t>
        </is>
      </c>
      <c r="G29" s="10" t="inlineStr"/>
    </row>
    <row r="31">
      <c r="A31" s="8" t="inlineStr">
        <is>
          <t>THÔNG TIN KHÓA NGOẠI</t>
        </is>
      </c>
    </row>
    <row r="32">
      <c r="A32" s="2" t="inlineStr">
        <is>
          <t>No</t>
        </is>
      </c>
      <c r="B32" s="2" t="inlineStr">
        <is>
          <t>Tên FK</t>
        </is>
      </c>
      <c r="C32" s="2" t="inlineStr">
        <is>
          <t>Cột</t>
        </is>
      </c>
      <c r="D32" s="2" t="inlineStr"/>
      <c r="E32" s="2" t="inlineStr">
        <is>
          <t>Bảng tham chiếu</t>
        </is>
      </c>
      <c r="F32" s="2" t="inlineStr"/>
      <c r="G32" s="2" t="inlineStr">
        <is>
          <t>Cột tham chiếu</t>
        </is>
      </c>
    </row>
    <row r="33">
      <c r="A33" s="3" t="n">
        <v>1</v>
      </c>
      <c r="B33" s="4" t="inlineStr">
        <is>
          <t>fk_inv_product</t>
        </is>
      </c>
      <c r="C33" s="4" t="inlineStr">
        <is>
          <t>product_id</t>
        </is>
      </c>
      <c r="D33" s="4" t="inlineStr"/>
      <c r="E33" s="4" t="inlineStr">
        <is>
          <t>products</t>
        </is>
      </c>
      <c r="F33" s="4" t="inlineStr"/>
      <c r="G33" s="4" t="inlineStr">
        <is>
          <t>id</t>
        </is>
      </c>
    </row>
    <row r="34">
      <c r="A34" s="3" t="n">
        <v>2</v>
      </c>
      <c r="B34" s="4" t="inlineStr">
        <is>
          <t>fk_inv_warehouse</t>
        </is>
      </c>
      <c r="C34" s="4" t="inlineStr">
        <is>
          <t>warehouse_id</t>
        </is>
      </c>
      <c r="D34" s="4" t="inlineStr"/>
      <c r="E34" s="4" t="inlineStr">
        <is>
          <t>warehouses</t>
        </is>
      </c>
      <c r="F34" s="4" t="inlineStr"/>
      <c r="G34" s="4" t="inlineStr">
        <is>
          <t>id</t>
        </is>
      </c>
    </row>
  </sheetData>
  <mergeCells count="29">
    <mergeCell ref="D4"/>
    <mergeCell ref="A4"/>
    <mergeCell ref="D3"/>
    <mergeCell ref="B7:C7"/>
    <mergeCell ref="B3:C3"/>
    <mergeCell ref="E5:F5"/>
    <mergeCell ref="D5"/>
    <mergeCell ref="A10:G10"/>
    <mergeCell ref="E4:F4"/>
    <mergeCell ref="B2:C2"/>
    <mergeCell ref="A9:G9"/>
    <mergeCell ref="A31:G31"/>
    <mergeCell ref="A6"/>
    <mergeCell ref="E6:F6"/>
    <mergeCell ref="A1:G1"/>
    <mergeCell ref="E2:F2"/>
    <mergeCell ref="A7"/>
    <mergeCell ref="D6"/>
    <mergeCell ref="D2"/>
    <mergeCell ref="B6:C6"/>
    <mergeCell ref="A27:G27"/>
    <mergeCell ref="A3"/>
    <mergeCell ref="E7:F7"/>
    <mergeCell ref="B5:C5"/>
    <mergeCell ref="D7"/>
    <mergeCell ref="A2"/>
    <mergeCell ref="E3:F3"/>
    <mergeCell ref="B4:C4"/>
    <mergeCell ref="A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Đơn hàng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orders</t>
        </is>
      </c>
      <c r="D6" s="7" t="inlineStr"/>
      <c r="E6" s="4" t="inlineStr"/>
    </row>
    <row r="7">
      <c r="A7" s="7" t="inlineStr">
        <is>
          <t>Ghi chú</t>
        </is>
      </c>
      <c r="B7" s="4" t="inlineStr"/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ID công ty VN</t>
        </is>
      </c>
      <c r="C13" s="9" t="inlineStr">
        <is>
          <t>company_vn_id</t>
        </is>
      </c>
      <c r="D13" s="9" t="inlineStr">
        <is>
          <t>int(11)</t>
        </is>
      </c>
      <c r="E13" s="4" t="inlineStr">
        <is>
          <t>Yes</t>
        </is>
      </c>
      <c r="F13" s="4" t="inlineStr"/>
      <c r="G13" s="4">
        <f>companies_vn.id</f>
        <v/>
      </c>
    </row>
    <row r="14" ht="18" customHeight="1">
      <c r="A14" s="3" t="n">
        <v>3</v>
      </c>
      <c r="B14" s="4" t="inlineStr">
        <is>
          <t>Số đơn hàng</t>
        </is>
      </c>
      <c r="C14" s="9" t="inlineStr">
        <is>
          <t>order_no</t>
        </is>
      </c>
      <c r="D14" s="9" t="inlineStr">
        <is>
          <t>varchar(50)</t>
        </is>
      </c>
      <c r="E14" s="4" t="inlineStr">
        <is>
          <t>Yes</t>
        </is>
      </c>
      <c r="F14" s="4" t="inlineStr"/>
      <c r="G14" s="4" t="inlineStr"/>
    </row>
    <row r="15" ht="18" customHeight="1">
      <c r="A15" s="3" t="n">
        <v>4</v>
      </c>
      <c r="B15" s="4" t="inlineStr">
        <is>
          <t>Trạng thái đơn</t>
        </is>
      </c>
      <c r="C15" s="9" t="inlineStr">
        <is>
          <t>order_status</t>
        </is>
      </c>
      <c r="D15" s="9" t="inlineStr">
        <is>
          <t>tinyint(1)</t>
        </is>
      </c>
      <c r="E15" s="4" t="inlineStr"/>
      <c r="F15" s="4" t="inlineStr">
        <is>
          <t>0</t>
        </is>
      </c>
      <c r="G15" s="4" t="inlineStr">
        <is>
          <t>0:Nháp 1:Gửi 2:XN 3:Hoàn thành 4:Hủy</t>
        </is>
      </c>
    </row>
    <row r="16" ht="18" customHeight="1">
      <c r="A16" s="3" t="n">
        <v>5</v>
      </c>
      <c r="B16" s="4" t="inlineStr">
        <is>
          <t>Ngày đặt hàng</t>
        </is>
      </c>
      <c r="C16" s="9" t="inlineStr">
        <is>
          <t>order_date</t>
        </is>
      </c>
      <c r="D16" s="9" t="inlineStr">
        <is>
          <t>date</t>
        </is>
      </c>
      <c r="E16" s="4" t="inlineStr"/>
      <c r="F16" s="4" t="inlineStr"/>
      <c r="G16" s="4" t="inlineStr"/>
    </row>
    <row r="17" ht="18" customHeight="1">
      <c r="A17" s="3" t="n">
        <v>6</v>
      </c>
      <c r="B17" s="4" t="inlineStr">
        <is>
          <t>Ngày giao dự kiến</t>
        </is>
      </c>
      <c r="C17" s="9" t="inlineStr">
        <is>
          <t>expected_date</t>
        </is>
      </c>
      <c r="D17" s="9" t="inlineStr">
        <is>
          <t>date</t>
        </is>
      </c>
      <c r="E17" s="4" t="inlineStr"/>
      <c r="F17" s="4" t="inlineStr"/>
      <c r="G17" s="4" t="inlineStr"/>
    </row>
    <row r="18" ht="18" customHeight="1">
      <c r="A18" s="3" t="n">
        <v>7</v>
      </c>
      <c r="B18" s="4" t="inlineStr">
        <is>
          <t>Tổng tiền (JPY)</t>
        </is>
      </c>
      <c r="C18" s="9" t="inlineStr">
        <is>
          <t>total_jpy</t>
        </is>
      </c>
      <c r="D18" s="9" t="inlineStr">
        <is>
          <t>bigint(20)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Tổng tiền (VND)</t>
        </is>
      </c>
      <c r="C19" s="9" t="inlineStr">
        <is>
          <t>total_vnd</t>
        </is>
      </c>
      <c r="D19" s="9" t="inlineStr">
        <is>
          <t>bigint(20)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Tỷ giá áp dụng</t>
        </is>
      </c>
      <c r="C20" s="9" t="inlineStr">
        <is>
          <t>exchange_rate</t>
        </is>
      </c>
      <c r="D20" s="9" t="inlineStr">
        <is>
          <t>decimal(10,2)</t>
        </is>
      </c>
      <c r="E20" s="4" t="inlineStr"/>
      <c r="F20" s="4" t="inlineStr"/>
      <c r="G20" s="4" t="inlineStr">
        <is>
          <t>JPY/VND tại thời điểm đặt</t>
        </is>
      </c>
    </row>
    <row r="21" ht="18" customHeight="1">
      <c r="A21" s="3" t="n">
        <v>10</v>
      </c>
      <c r="B21" s="4" t="inlineStr">
        <is>
          <t>Phí vận chuyển</t>
        </is>
      </c>
      <c r="C21" s="9" t="inlineStr">
        <is>
          <t>shipping_fee</t>
        </is>
      </c>
      <c r="D21" s="9" t="inlineStr">
        <is>
          <t>bigint(20)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Thuế nhập khẩu</t>
        </is>
      </c>
      <c r="C22" s="9" t="inlineStr">
        <is>
          <t>import_tax</t>
        </is>
      </c>
      <c r="D22" s="9" t="inlineStr">
        <is>
          <t>bigint(20)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Ghi chú đặt hàng</t>
        </is>
      </c>
      <c r="C23" s="9" t="inlineStr">
        <is>
          <t>biko</t>
        </is>
      </c>
      <c r="D23" s="9" t="inlineStr">
        <is>
          <t>text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ID người xử lý</t>
        </is>
      </c>
      <c r="C24" s="9" t="inlineStr">
        <is>
          <t>handler_admin_id</t>
        </is>
      </c>
      <c r="D24" s="9" t="inlineStr">
        <is>
          <t>int(11)</t>
        </is>
      </c>
      <c r="E24" s="4" t="inlineStr"/>
      <c r="F24" s="4" t="inlineStr"/>
      <c r="G24" s="4">
        <f>admins.id</f>
        <v/>
      </c>
    </row>
    <row r="25" ht="18" customHeight="1">
      <c r="A25" s="3" t="n">
        <v>14</v>
      </c>
      <c r="B25" s="4" t="inlineStr">
        <is>
          <t>Ngày tạo</t>
        </is>
      </c>
      <c r="C25" s="9" t="inlineStr">
        <is>
          <t>created</t>
        </is>
      </c>
      <c r="D25" s="9" t="inlineStr">
        <is>
          <t>datetime</t>
        </is>
      </c>
      <c r="E25" s="4" t="inlineStr"/>
      <c r="F25" s="4" t="inlineStr"/>
      <c r="G25" s="4" t="inlineStr"/>
    </row>
    <row r="26" ht="18" customHeight="1">
      <c r="A26" s="3" t="n">
        <v>15</v>
      </c>
      <c r="B26" s="4" t="inlineStr">
        <is>
          <t>ID người tạo</t>
        </is>
      </c>
      <c r="C26" s="9" t="inlineStr">
        <is>
          <t>created_user_id</t>
        </is>
      </c>
      <c r="D26" s="9" t="inlineStr">
        <is>
          <t>int(11)</t>
        </is>
      </c>
      <c r="E26" s="4" t="inlineStr"/>
      <c r="F26" s="4" t="inlineStr"/>
      <c r="G26" s="4" t="inlineStr"/>
    </row>
    <row r="27" ht="18" customHeight="1">
      <c r="A27" s="3" t="n">
        <v>16</v>
      </c>
      <c r="B27" s="4" t="inlineStr">
        <is>
          <t>Ngày cập nhật</t>
        </is>
      </c>
      <c r="C27" s="9" t="inlineStr">
        <is>
          <t>modified</t>
        </is>
      </c>
      <c r="D27" s="9" t="inlineStr">
        <is>
          <t>datetime</t>
        </is>
      </c>
      <c r="E27" s="4" t="inlineStr"/>
      <c r="F27" s="4" t="inlineStr"/>
      <c r="G27" s="4" t="inlineStr"/>
    </row>
    <row r="28" ht="18" customHeight="1">
      <c r="A28" s="3" t="n">
        <v>17</v>
      </c>
      <c r="B28" s="4" t="inlineStr">
        <is>
          <t>ID người cập nhật</t>
        </is>
      </c>
      <c r="C28" s="9" t="inlineStr">
        <is>
          <t>modified_user_id</t>
        </is>
      </c>
      <c r="D28" s="9" t="inlineStr">
        <is>
          <t>int(11)</t>
        </is>
      </c>
      <c r="E28" s="4" t="inlineStr"/>
      <c r="F28" s="4" t="inlineStr"/>
      <c r="G28" s="4" t="inlineStr"/>
    </row>
    <row r="29" ht="18" customHeight="1">
      <c r="A29" s="3" t="n">
        <v>18</v>
      </c>
      <c r="B29" s="4" t="inlineStr">
        <is>
          <t>Ngày xóa</t>
        </is>
      </c>
      <c r="C29" s="9" t="inlineStr">
        <is>
          <t>deleted</t>
        </is>
      </c>
      <c r="D29" s="9" t="inlineStr">
        <is>
          <t>datetime</t>
        </is>
      </c>
      <c r="E29" s="4" t="inlineStr"/>
      <c r="F29" s="4" t="inlineStr"/>
      <c r="G29" s="4" t="inlineStr"/>
    </row>
    <row r="30" ht="18" customHeight="1">
      <c r="A30" s="3" t="n">
        <v>19</v>
      </c>
      <c r="B30" s="4" t="inlineStr">
        <is>
          <t>Cờ đã xóa</t>
        </is>
      </c>
      <c r="C30" s="9" t="inlineStr">
        <is>
          <t>deleted_flag</t>
        </is>
      </c>
      <c r="D30" s="9" t="inlineStr">
        <is>
          <t>tinyint(1)</t>
        </is>
      </c>
      <c r="E30" s="4" t="inlineStr"/>
      <c r="F30" s="4" t="inlineStr">
        <is>
          <t>0</t>
        </is>
      </c>
      <c r="G30" s="4" t="inlineStr"/>
    </row>
    <row r="32">
      <c r="A32" s="8" t="inlineStr">
        <is>
          <t>THÔNG TIN INDEX</t>
        </is>
      </c>
    </row>
    <row r="33">
      <c r="A33" s="2" t="inlineStr">
        <is>
          <t>No</t>
        </is>
      </c>
      <c r="B33" s="2" t="inlineStr">
        <is>
          <t>Tên index</t>
        </is>
      </c>
      <c r="C33" s="2" t="inlineStr">
        <is>
          <t>Danh sách cột</t>
        </is>
      </c>
      <c r="D33" s="2" t="inlineStr"/>
      <c r="E33" s="2" t="inlineStr">
        <is>
          <t>Khóa chính</t>
        </is>
      </c>
      <c r="F33" s="2" t="inlineStr">
        <is>
          <t>Unique</t>
        </is>
      </c>
      <c r="G33" s="2" t="inlineStr">
        <is>
          <t>Ghi chú</t>
        </is>
      </c>
    </row>
    <row r="34">
      <c r="A34" s="10" t="n">
        <v>1</v>
      </c>
      <c r="B34" s="10" t="inlineStr">
        <is>
          <t>PRIMARY</t>
        </is>
      </c>
      <c r="C34" s="10" t="inlineStr">
        <is>
          <t>id</t>
        </is>
      </c>
      <c r="D34" s="10" t="inlineStr"/>
      <c r="E34" s="10" t="inlineStr">
        <is>
          <t>Yes</t>
        </is>
      </c>
      <c r="F34" s="10" t="inlineStr">
        <is>
          <t>Yes</t>
        </is>
      </c>
      <c r="G34" s="10" t="inlineStr"/>
    </row>
    <row r="36">
      <c r="A36" s="8" t="inlineStr">
        <is>
          <t>THÔNG TIN KHÓA NGOẠI</t>
        </is>
      </c>
    </row>
    <row r="37">
      <c r="A37" s="2" t="inlineStr">
        <is>
          <t>No</t>
        </is>
      </c>
      <c r="B37" s="2" t="inlineStr">
        <is>
          <t>Tên FK</t>
        </is>
      </c>
      <c r="C37" s="2" t="inlineStr">
        <is>
          <t>Cột</t>
        </is>
      </c>
      <c r="D37" s="2" t="inlineStr"/>
      <c r="E37" s="2" t="inlineStr">
        <is>
          <t>Bảng tham chiếu</t>
        </is>
      </c>
      <c r="F37" s="2" t="inlineStr"/>
      <c r="G37" s="2" t="inlineStr">
        <is>
          <t>Cột tham chiếu</t>
        </is>
      </c>
    </row>
    <row r="38">
      <c r="A38" s="3" t="n">
        <v>1</v>
      </c>
      <c r="B38" s="4" t="inlineStr">
        <is>
          <t>fk_orders_company</t>
        </is>
      </c>
      <c r="C38" s="4" t="inlineStr">
        <is>
          <t>company_vn_id</t>
        </is>
      </c>
      <c r="D38" s="4" t="inlineStr"/>
      <c r="E38" s="4" t="inlineStr">
        <is>
          <t>companies_vn</t>
        </is>
      </c>
      <c r="F38" s="4" t="inlineStr"/>
      <c r="G38" s="4" t="inlineStr">
        <is>
          <t>id</t>
        </is>
      </c>
    </row>
    <row r="39">
      <c r="A39" s="3" t="n">
        <v>2</v>
      </c>
      <c r="B39" s="4" t="inlineStr">
        <is>
          <t>fk_orders_admin</t>
        </is>
      </c>
      <c r="C39" s="4" t="inlineStr">
        <is>
          <t>handler_admin_id</t>
        </is>
      </c>
      <c r="D39" s="4" t="inlineStr"/>
      <c r="E39" s="4" t="inlineStr">
        <is>
          <t>admins</t>
        </is>
      </c>
      <c r="F39" s="4" t="inlineStr"/>
      <c r="G39" s="4" t="inlineStr">
        <is>
          <t>id</t>
        </is>
      </c>
    </row>
  </sheetData>
  <mergeCells count="29">
    <mergeCell ref="A32:G32"/>
    <mergeCell ref="D4"/>
    <mergeCell ref="A4"/>
    <mergeCell ref="D3"/>
    <mergeCell ref="B7:C7"/>
    <mergeCell ref="B3:C3"/>
    <mergeCell ref="E5:F5"/>
    <mergeCell ref="D5"/>
    <mergeCell ref="A10:G10"/>
    <mergeCell ref="E4:F4"/>
    <mergeCell ref="B2:C2"/>
    <mergeCell ref="A9:G9"/>
    <mergeCell ref="A36:G36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"/>
    <mergeCell ref="E3:F3"/>
    <mergeCell ref="B4:C4"/>
    <mergeCell ref="A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Chi tiết đơn hàng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order_details</t>
        </is>
      </c>
      <c r="D6" s="7" t="inlineStr"/>
      <c r="E6" s="4" t="inlineStr"/>
    </row>
    <row r="7">
      <c r="A7" s="7" t="inlineStr">
        <is>
          <t>Ghi chú</t>
        </is>
      </c>
      <c r="B7" s="4" t="inlineStr"/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ID đơn hàng</t>
        </is>
      </c>
      <c r="C13" s="9" t="inlineStr">
        <is>
          <t>order_id</t>
        </is>
      </c>
      <c r="D13" s="9" t="inlineStr">
        <is>
          <t>int(11)</t>
        </is>
      </c>
      <c r="E13" s="4" t="inlineStr">
        <is>
          <t>Yes</t>
        </is>
      </c>
      <c r="F13" s="4" t="inlineStr"/>
      <c r="G13" s="4">
        <f>orders.id</f>
        <v/>
      </c>
    </row>
    <row r="14" ht="18" customHeight="1">
      <c r="A14" s="3" t="n">
        <v>3</v>
      </c>
      <c r="B14" s="4" t="inlineStr">
        <is>
          <t>ID hàng hóa</t>
        </is>
      </c>
      <c r="C14" s="9" t="inlineStr">
        <is>
          <t>product_id</t>
        </is>
      </c>
      <c r="D14" s="9" t="inlineStr">
        <is>
          <t>int(11)</t>
        </is>
      </c>
      <c r="E14" s="4" t="inlineStr">
        <is>
          <t>Yes</t>
        </is>
      </c>
      <c r="F14" s="4" t="inlineStr"/>
      <c r="G14" s="4">
        <f>products.id</f>
        <v/>
      </c>
    </row>
    <row r="15" ht="18" customHeight="1">
      <c r="A15" s="3" t="n">
        <v>4</v>
      </c>
      <c r="B15" s="4" t="inlineStr">
        <is>
          <t>Số lượng</t>
        </is>
      </c>
      <c r="C15" s="9" t="inlineStr">
        <is>
          <t>quantity</t>
        </is>
      </c>
      <c r="D15" s="9" t="inlineStr">
        <is>
          <t>int(11)</t>
        </is>
      </c>
      <c r="E15" s="4" t="inlineStr"/>
      <c r="F15" s="4" t="inlineStr"/>
      <c r="G15" s="4" t="inlineStr"/>
    </row>
    <row r="16" ht="18" customHeight="1">
      <c r="A16" s="3" t="n">
        <v>5</v>
      </c>
      <c r="B16" s="4" t="inlineStr">
        <is>
          <t>Đơn giá (JPY)</t>
        </is>
      </c>
      <c r="C16" s="9" t="inlineStr">
        <is>
          <t>unit_price_jpy</t>
        </is>
      </c>
      <c r="D16" s="9" t="inlineStr">
        <is>
          <t>int(11)</t>
        </is>
      </c>
      <c r="E16" s="4" t="inlineStr"/>
      <c r="F16" s="4" t="inlineStr"/>
      <c r="G16" s="4" t="inlineStr"/>
    </row>
    <row r="17" ht="18" customHeight="1">
      <c r="A17" s="3" t="n">
        <v>6</v>
      </c>
      <c r="B17" s="4" t="inlineStr">
        <is>
          <t>Đơn giá (VND)</t>
        </is>
      </c>
      <c r="C17" s="9" t="inlineStr">
        <is>
          <t>unit_price_vnd</t>
        </is>
      </c>
      <c r="D17" s="9" t="inlineStr">
        <is>
          <t>bigint(20)</t>
        </is>
      </c>
      <c r="E17" s="4" t="inlineStr"/>
      <c r="F17" s="4" t="inlineStr"/>
      <c r="G17" s="4" t="inlineStr"/>
    </row>
    <row r="18" ht="18" customHeight="1">
      <c r="A18" s="3" t="n">
        <v>7</v>
      </c>
      <c r="B18" s="4" t="inlineStr">
        <is>
          <t>Thành tiền (VND)</t>
        </is>
      </c>
      <c r="C18" s="9" t="inlineStr">
        <is>
          <t>subtotal_vnd</t>
        </is>
      </c>
      <c r="D18" s="9" t="inlineStr">
        <is>
          <t>bigint(20)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Tỷ lệ thuế NK (%)</t>
        </is>
      </c>
      <c r="C19" s="9" t="inlineStr">
        <is>
          <t>import_tax_rate</t>
        </is>
      </c>
      <c r="D19" s="9" t="inlineStr">
        <is>
          <t>decimal(5,2)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Tiền thuế NK</t>
        </is>
      </c>
      <c r="C20" s="9" t="inlineStr">
        <is>
          <t>import_tax_amt</t>
        </is>
      </c>
      <c r="D20" s="9" t="inlineStr">
        <is>
          <t>bigint(20)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Ghi chú</t>
        </is>
      </c>
      <c r="C21" s="9" t="inlineStr">
        <is>
          <t>comment</t>
        </is>
      </c>
      <c r="D21" s="9" t="inlineStr">
        <is>
          <t>text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Ngày tạo</t>
        </is>
      </c>
      <c r="C22" s="9" t="inlineStr">
        <is>
          <t>created</t>
        </is>
      </c>
      <c r="D22" s="9" t="inlineStr">
        <is>
          <t>datetime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ID người tạo</t>
        </is>
      </c>
      <c r="C23" s="9" t="inlineStr">
        <is>
          <t>created_user_id</t>
        </is>
      </c>
      <c r="D23" s="9" t="inlineStr">
        <is>
          <t>int(11)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Ngày cập nhật</t>
        </is>
      </c>
      <c r="C24" s="9" t="inlineStr">
        <is>
          <t>modified</t>
        </is>
      </c>
      <c r="D24" s="9" t="inlineStr">
        <is>
          <t>datetime</t>
        </is>
      </c>
      <c r="E24" s="4" t="inlineStr"/>
      <c r="F24" s="4" t="inlineStr"/>
      <c r="G24" s="4" t="inlineStr"/>
    </row>
    <row r="25" ht="18" customHeight="1">
      <c r="A25" s="3" t="n">
        <v>14</v>
      </c>
      <c r="B25" s="4" t="inlineStr">
        <is>
          <t>ID người cập nhật</t>
        </is>
      </c>
      <c r="C25" s="9" t="inlineStr">
        <is>
          <t>modified_user_id</t>
        </is>
      </c>
      <c r="D25" s="9" t="inlineStr">
        <is>
          <t>int(11)</t>
        </is>
      </c>
      <c r="E25" s="4" t="inlineStr"/>
      <c r="F25" s="4" t="inlineStr"/>
      <c r="G25" s="4" t="inlineStr"/>
    </row>
    <row r="26" ht="18" customHeight="1">
      <c r="A26" s="3" t="n">
        <v>15</v>
      </c>
      <c r="B26" s="4" t="inlineStr">
        <is>
          <t>Ngày xóa</t>
        </is>
      </c>
      <c r="C26" s="9" t="inlineStr">
        <is>
          <t>deleted</t>
        </is>
      </c>
      <c r="D26" s="9" t="inlineStr">
        <is>
          <t>datetime</t>
        </is>
      </c>
      <c r="E26" s="4" t="inlineStr"/>
      <c r="F26" s="4" t="inlineStr"/>
      <c r="G26" s="4" t="inlineStr"/>
    </row>
    <row r="27" ht="18" customHeight="1">
      <c r="A27" s="3" t="n">
        <v>16</v>
      </c>
      <c r="B27" s="4" t="inlineStr">
        <is>
          <t>Cờ đã xóa</t>
        </is>
      </c>
      <c r="C27" s="9" t="inlineStr">
        <is>
          <t>deleted_flag</t>
        </is>
      </c>
      <c r="D27" s="9" t="inlineStr">
        <is>
          <t>tinyint(1)</t>
        </is>
      </c>
      <c r="E27" s="4" t="inlineStr"/>
      <c r="F27" s="4" t="inlineStr">
        <is>
          <t>0</t>
        </is>
      </c>
      <c r="G27" s="4" t="inlineStr"/>
    </row>
    <row r="29">
      <c r="A29" s="8" t="inlineStr">
        <is>
          <t>THÔNG TIN INDEX</t>
        </is>
      </c>
    </row>
    <row r="30">
      <c r="A30" s="2" t="inlineStr">
        <is>
          <t>No</t>
        </is>
      </c>
      <c r="B30" s="2" t="inlineStr">
        <is>
          <t>Tên index</t>
        </is>
      </c>
      <c r="C30" s="2" t="inlineStr">
        <is>
          <t>Danh sách cột</t>
        </is>
      </c>
      <c r="D30" s="2" t="inlineStr"/>
      <c r="E30" s="2" t="inlineStr">
        <is>
          <t>Khóa chính</t>
        </is>
      </c>
      <c r="F30" s="2" t="inlineStr">
        <is>
          <t>Unique</t>
        </is>
      </c>
      <c r="G30" s="2" t="inlineStr">
        <is>
          <t>Ghi chú</t>
        </is>
      </c>
    </row>
    <row r="31">
      <c r="A31" s="10" t="n">
        <v>1</v>
      </c>
      <c r="B31" s="10" t="inlineStr">
        <is>
          <t>PRIMARY</t>
        </is>
      </c>
      <c r="C31" s="10" t="inlineStr">
        <is>
          <t>id</t>
        </is>
      </c>
      <c r="D31" s="10" t="inlineStr"/>
      <c r="E31" s="10" t="inlineStr">
        <is>
          <t>Yes</t>
        </is>
      </c>
      <c r="F31" s="10" t="inlineStr">
        <is>
          <t>Yes</t>
        </is>
      </c>
      <c r="G31" s="10" t="inlineStr"/>
    </row>
    <row r="33">
      <c r="A33" s="8" t="inlineStr">
        <is>
          <t>THÔNG TIN KHÓA NGOẠI</t>
        </is>
      </c>
    </row>
    <row r="34">
      <c r="A34" s="2" t="inlineStr">
        <is>
          <t>No</t>
        </is>
      </c>
      <c r="B34" s="2" t="inlineStr">
        <is>
          <t>Tên FK</t>
        </is>
      </c>
      <c r="C34" s="2" t="inlineStr">
        <is>
          <t>Cột</t>
        </is>
      </c>
      <c r="D34" s="2" t="inlineStr"/>
      <c r="E34" s="2" t="inlineStr">
        <is>
          <t>Bảng tham chiếu</t>
        </is>
      </c>
      <c r="F34" s="2" t="inlineStr"/>
      <c r="G34" s="2" t="inlineStr">
        <is>
          <t>Cột tham chiếu</t>
        </is>
      </c>
    </row>
    <row r="35">
      <c r="A35" s="3" t="n">
        <v>1</v>
      </c>
      <c r="B35" s="4" t="inlineStr">
        <is>
          <t>fk_od_order</t>
        </is>
      </c>
      <c r="C35" s="4" t="inlineStr">
        <is>
          <t>order_id</t>
        </is>
      </c>
      <c r="D35" s="4" t="inlineStr"/>
      <c r="E35" s="4" t="inlineStr">
        <is>
          <t>orders</t>
        </is>
      </c>
      <c r="F35" s="4" t="inlineStr"/>
      <c r="G35" s="4" t="inlineStr">
        <is>
          <t>id</t>
        </is>
      </c>
    </row>
    <row r="36">
      <c r="A36" s="3" t="n">
        <v>2</v>
      </c>
      <c r="B36" s="4" t="inlineStr">
        <is>
          <t>fk_od_product</t>
        </is>
      </c>
      <c r="C36" s="4" t="inlineStr">
        <is>
          <t>product_id</t>
        </is>
      </c>
      <c r="D36" s="4" t="inlineStr"/>
      <c r="E36" s="4" t="inlineStr">
        <is>
          <t>products</t>
        </is>
      </c>
      <c r="F36" s="4" t="inlineStr"/>
      <c r="G36" s="4" t="inlineStr">
        <is>
          <t>id</t>
        </is>
      </c>
    </row>
  </sheetData>
  <mergeCells count="29">
    <mergeCell ref="D4"/>
    <mergeCell ref="A4"/>
    <mergeCell ref="D3"/>
    <mergeCell ref="B7:C7"/>
    <mergeCell ref="B3:C3"/>
    <mergeCell ref="E5:F5"/>
    <mergeCell ref="A29:G29"/>
    <mergeCell ref="D5"/>
    <mergeCell ref="A10:G10"/>
    <mergeCell ref="E4:F4"/>
    <mergeCell ref="B2:C2"/>
    <mergeCell ref="A9:G9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"/>
    <mergeCell ref="E3:F3"/>
    <mergeCell ref="A33:G33"/>
    <mergeCell ref="B4:C4"/>
    <mergeCell ref="A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Tỷ giá tiền tệ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exchange_rates</t>
        </is>
      </c>
      <c r="D6" s="7" t="inlineStr"/>
      <c r="E6" s="4" t="inlineStr"/>
    </row>
    <row r="7">
      <c r="A7" s="7" t="inlineStr">
        <is>
          <t>Ghi chú</t>
        </is>
      </c>
      <c r="B7" s="4" t="inlineStr">
        <is>
          <t>JPY/VND</t>
        </is>
      </c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Mã tiền tệ gốc</t>
        </is>
      </c>
      <c r="C13" s="9" t="inlineStr">
        <is>
          <t>from_currency</t>
        </is>
      </c>
      <c r="D13" s="9" t="inlineStr">
        <is>
          <t>varchar(10)</t>
        </is>
      </c>
      <c r="E13" s="4" t="inlineStr">
        <is>
          <t>Yes</t>
        </is>
      </c>
      <c r="F13" s="4" t="inlineStr">
        <is>
          <t>JPY</t>
        </is>
      </c>
      <c r="G13" s="4" t="inlineStr"/>
    </row>
    <row r="14" ht="18" customHeight="1">
      <c r="A14" s="3" t="n">
        <v>3</v>
      </c>
      <c r="B14" s="4" t="inlineStr">
        <is>
          <t>Mã tiền tệ đích</t>
        </is>
      </c>
      <c r="C14" s="9" t="inlineStr">
        <is>
          <t>to_currency</t>
        </is>
      </c>
      <c r="D14" s="9" t="inlineStr">
        <is>
          <t>varchar(10)</t>
        </is>
      </c>
      <c r="E14" s="4" t="inlineStr">
        <is>
          <t>Yes</t>
        </is>
      </c>
      <c r="F14" s="4" t="inlineStr">
        <is>
          <t>VND</t>
        </is>
      </c>
      <c r="G14" s="4" t="inlineStr"/>
    </row>
    <row r="15" ht="18" customHeight="1">
      <c r="A15" s="3" t="n">
        <v>4</v>
      </c>
      <c r="B15" s="4" t="inlineStr">
        <is>
          <t>Tỷ giá</t>
        </is>
      </c>
      <c r="C15" s="9" t="inlineStr">
        <is>
          <t>rate</t>
        </is>
      </c>
      <c r="D15" s="9" t="inlineStr">
        <is>
          <t>decimal(15,4)</t>
        </is>
      </c>
      <c r="E15" s="4" t="inlineStr">
        <is>
          <t>Yes</t>
        </is>
      </c>
      <c r="F15" s="4" t="inlineStr"/>
      <c r="G15" s="4" t="inlineStr">
        <is>
          <t>1 JPY = ? VND</t>
        </is>
      </c>
    </row>
    <row r="16" ht="18" customHeight="1">
      <c r="A16" s="3" t="n">
        <v>5</v>
      </c>
      <c r="B16" s="4" t="inlineStr">
        <is>
          <t>Ngày áp dụng</t>
        </is>
      </c>
      <c r="C16" s="9" t="inlineStr">
        <is>
          <t>apply_date</t>
        </is>
      </c>
      <c r="D16" s="9" t="inlineStr">
        <is>
          <t>date</t>
        </is>
      </c>
      <c r="E16" s="4" t="inlineStr">
        <is>
          <t>Yes</t>
        </is>
      </c>
      <c r="F16" s="4" t="inlineStr"/>
      <c r="G16" s="4" t="inlineStr"/>
    </row>
    <row r="17" ht="18" customHeight="1">
      <c r="A17" s="3" t="n">
        <v>6</v>
      </c>
      <c r="B17" s="4" t="inlineStr">
        <is>
          <t>Nguồn tỷ giá</t>
        </is>
      </c>
      <c r="C17" s="9" t="inlineStr">
        <is>
          <t>source</t>
        </is>
      </c>
      <c r="D17" s="9" t="inlineStr">
        <is>
          <t>varchar(100)</t>
        </is>
      </c>
      <c r="E17" s="4" t="inlineStr"/>
      <c r="F17" s="4" t="inlineStr"/>
      <c r="G17" s="4" t="inlineStr">
        <is>
          <t>Ngân hàng/SBV/...</t>
        </is>
      </c>
    </row>
    <row r="18" ht="18" customHeight="1">
      <c r="A18" s="3" t="n">
        <v>7</v>
      </c>
      <c r="B18" s="4" t="inlineStr">
        <is>
          <t>Ghi chú</t>
        </is>
      </c>
      <c r="C18" s="9" t="inlineStr">
        <is>
          <t>memo</t>
        </is>
      </c>
      <c r="D18" s="9" t="inlineStr">
        <is>
          <t>varchar(255)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Ngày tạo</t>
        </is>
      </c>
      <c r="C19" s="9" t="inlineStr">
        <is>
          <t>created</t>
        </is>
      </c>
      <c r="D19" s="9" t="inlineStr">
        <is>
          <t>datetime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ID người tạo</t>
        </is>
      </c>
      <c r="C20" s="9" t="inlineStr">
        <is>
          <t>created_user_id</t>
        </is>
      </c>
      <c r="D20" s="9" t="inlineStr">
        <is>
          <t>int(11)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Ngày cập nhật</t>
        </is>
      </c>
      <c r="C21" s="9" t="inlineStr">
        <is>
          <t>modified</t>
        </is>
      </c>
      <c r="D21" s="9" t="inlineStr">
        <is>
          <t>datetime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ID người cập nhật</t>
        </is>
      </c>
      <c r="C22" s="9" t="inlineStr">
        <is>
          <t>modified_user_id</t>
        </is>
      </c>
      <c r="D22" s="9" t="inlineStr">
        <is>
          <t>int(11)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Ngày xóa</t>
        </is>
      </c>
      <c r="C23" s="9" t="inlineStr">
        <is>
          <t>deleted</t>
        </is>
      </c>
      <c r="D23" s="9" t="inlineStr">
        <is>
          <t>datetime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Cờ đã xóa</t>
        </is>
      </c>
      <c r="C24" s="9" t="inlineStr">
        <is>
          <t>deleted_flag</t>
        </is>
      </c>
      <c r="D24" s="9" t="inlineStr">
        <is>
          <t>tinyint(1)</t>
        </is>
      </c>
      <c r="E24" s="4" t="inlineStr"/>
      <c r="F24" s="4" t="inlineStr">
        <is>
          <t>0</t>
        </is>
      </c>
      <c r="G24" s="4" t="inlineStr"/>
    </row>
    <row r="26">
      <c r="A26" s="8" t="inlineStr">
        <is>
          <t>THÔNG TIN INDEX</t>
        </is>
      </c>
    </row>
    <row r="27">
      <c r="A27" s="2" t="inlineStr">
        <is>
          <t>No</t>
        </is>
      </c>
      <c r="B27" s="2" t="inlineStr">
        <is>
          <t>Tên index</t>
        </is>
      </c>
      <c r="C27" s="2" t="inlineStr">
        <is>
          <t>Danh sách cột</t>
        </is>
      </c>
      <c r="D27" s="2" t="inlineStr"/>
      <c r="E27" s="2" t="inlineStr">
        <is>
          <t>Khóa chính</t>
        </is>
      </c>
      <c r="F27" s="2" t="inlineStr">
        <is>
          <t>Unique</t>
        </is>
      </c>
      <c r="G27" s="2" t="inlineStr">
        <is>
          <t>Ghi chú</t>
        </is>
      </c>
    </row>
    <row r="28">
      <c r="A28" s="10" t="n">
        <v>1</v>
      </c>
      <c r="B28" s="10" t="inlineStr">
        <is>
          <t>PRIMARY</t>
        </is>
      </c>
      <c r="C28" s="10" t="inlineStr">
        <is>
          <t>id</t>
        </is>
      </c>
      <c r="D28" s="10" t="inlineStr"/>
      <c r="E28" s="10" t="inlineStr">
        <is>
          <t>Yes</t>
        </is>
      </c>
      <c r="F28" s="10" t="inlineStr">
        <is>
          <t>Yes</t>
        </is>
      </c>
      <c r="G28" s="10" t="inlineStr"/>
    </row>
    <row r="30">
      <c r="A30" s="8" t="inlineStr">
        <is>
          <t>THÔNG TIN KHÓA NGOẠI</t>
        </is>
      </c>
    </row>
    <row r="31">
      <c r="A31" s="2" t="inlineStr">
        <is>
          <t>No</t>
        </is>
      </c>
      <c r="B31" s="2" t="inlineStr">
        <is>
          <t>Tên FK</t>
        </is>
      </c>
      <c r="C31" s="2" t="inlineStr">
        <is>
          <t>Cột</t>
        </is>
      </c>
      <c r="D31" s="2" t="inlineStr"/>
      <c r="E31" s="2" t="inlineStr">
        <is>
          <t>Bảng tham chiếu</t>
        </is>
      </c>
      <c r="F31" s="2" t="inlineStr"/>
      <c r="G31" s="2" t="inlineStr">
        <is>
          <t>Cột tham chiếu</t>
        </is>
      </c>
    </row>
  </sheetData>
  <mergeCells count="29">
    <mergeCell ref="D4"/>
    <mergeCell ref="A4"/>
    <mergeCell ref="D3"/>
    <mergeCell ref="B7:C7"/>
    <mergeCell ref="B3:C3"/>
    <mergeCell ref="E5:F5"/>
    <mergeCell ref="D5"/>
    <mergeCell ref="A10:G10"/>
    <mergeCell ref="E4:F4"/>
    <mergeCell ref="B2:C2"/>
    <mergeCell ref="A9:G9"/>
    <mergeCell ref="A30:G30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6:G26"/>
    <mergeCell ref="A2"/>
    <mergeCell ref="E3:F3"/>
    <mergeCell ref="B4:C4"/>
    <mergeCell ref="A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Khai báo nhập khẩu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import_declarations</t>
        </is>
      </c>
      <c r="D6" s="7" t="inlineStr"/>
      <c r="E6" s="4" t="inlineStr"/>
    </row>
    <row r="7">
      <c r="A7" s="7" t="inlineStr">
        <is>
          <t>Ghi chú</t>
        </is>
      </c>
      <c r="B7" s="4" t="inlineStr"/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ID đơn hàng</t>
        </is>
      </c>
      <c r="C13" s="9" t="inlineStr">
        <is>
          <t>order_id</t>
        </is>
      </c>
      <c r="D13" s="9" t="inlineStr">
        <is>
          <t>int(11)</t>
        </is>
      </c>
      <c r="E13" s="4" t="inlineStr">
        <is>
          <t>Yes</t>
        </is>
      </c>
      <c r="F13" s="4" t="inlineStr"/>
      <c r="G13" s="4">
        <f>orders.id</f>
        <v/>
      </c>
    </row>
    <row r="14" ht="18" customHeight="1">
      <c r="A14" s="3" t="n">
        <v>3</v>
      </c>
      <c r="B14" s="4" t="inlineStr">
        <is>
          <t>Số tờ khai</t>
        </is>
      </c>
      <c r="C14" s="9" t="inlineStr">
        <is>
          <t>declaration_no</t>
        </is>
      </c>
      <c r="D14" s="9" t="inlineStr">
        <is>
          <t>varchar(50)</t>
        </is>
      </c>
      <c r="E14" s="4" t="inlineStr"/>
      <c r="F14" s="4" t="inlineStr"/>
      <c r="G14" s="4" t="inlineStr"/>
    </row>
    <row r="15" ht="18" customHeight="1">
      <c r="A15" s="3" t="n">
        <v>4</v>
      </c>
      <c r="B15" s="4" t="inlineStr">
        <is>
          <t>Ngày khai báo</t>
        </is>
      </c>
      <c r="C15" s="9" t="inlineStr">
        <is>
          <t>declaration_date</t>
        </is>
      </c>
      <c r="D15" s="9" t="inlineStr">
        <is>
          <t>date</t>
        </is>
      </c>
      <c r="E15" s="4" t="inlineStr"/>
      <c r="F15" s="4" t="inlineStr"/>
      <c r="G15" s="4" t="inlineStr"/>
    </row>
    <row r="16" ht="18" customHeight="1">
      <c r="A16" s="3" t="n">
        <v>5</v>
      </c>
      <c r="B16" s="4" t="inlineStr">
        <is>
          <t>Trạng thái thông quan</t>
        </is>
      </c>
      <c r="C16" s="9" t="inlineStr">
        <is>
          <t>customs_status</t>
        </is>
      </c>
      <c r="D16" s="9" t="inlineStr">
        <is>
          <t>tinyint(1)</t>
        </is>
      </c>
      <c r="E16" s="4" t="inlineStr"/>
      <c r="F16" s="4" t="inlineStr">
        <is>
          <t>0</t>
        </is>
      </c>
      <c r="G16" s="4" t="inlineStr">
        <is>
          <t>0:Chờ 1:Đang XL 2:Thông quan 3:Từ chối</t>
        </is>
      </c>
    </row>
    <row r="17" ht="18" customHeight="1">
      <c r="A17" s="3" t="n">
        <v>6</v>
      </c>
      <c r="B17" s="4" t="inlineStr">
        <is>
          <t>Cảng nhập khẩu</t>
        </is>
      </c>
      <c r="C17" s="9" t="inlineStr">
        <is>
          <t>port_of_entry</t>
        </is>
      </c>
      <c r="D17" s="9" t="inlineStr">
        <is>
          <t>varchar(100)</t>
        </is>
      </c>
      <c r="E17" s="4" t="inlineStr"/>
      <c r="F17" s="4" t="inlineStr"/>
      <c r="G17" s="4" t="inlineStr"/>
    </row>
    <row r="18" ht="18" customHeight="1">
      <c r="A18" s="3" t="n">
        <v>7</v>
      </c>
      <c r="B18" s="4" t="inlineStr">
        <is>
          <t>Tổng trị giá (JPY)</t>
        </is>
      </c>
      <c r="C18" s="9" t="inlineStr">
        <is>
          <t>declared_value_jpy</t>
        </is>
      </c>
      <c r="D18" s="9" t="inlineStr">
        <is>
          <t>bigint(20)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Tổng thuế NK (VND)</t>
        </is>
      </c>
      <c r="C19" s="9" t="inlineStr">
        <is>
          <t>total_tax_vnd</t>
        </is>
      </c>
      <c r="D19" s="9" t="inlineStr">
        <is>
          <t>bigint(20)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File tờ khai</t>
        </is>
      </c>
      <c r="C20" s="9" t="inlineStr">
        <is>
          <t>declaration_file</t>
        </is>
      </c>
      <c r="D20" s="9" t="inlineStr">
        <is>
          <t>varchar(500)</t>
        </is>
      </c>
      <c r="E20" s="4" t="inlineStr"/>
      <c r="F20" s="4" t="inlineStr"/>
      <c r="G20" s="4" t="inlineStr">
        <is>
          <t>Đường dẫn file</t>
        </is>
      </c>
    </row>
    <row r="21" ht="18" customHeight="1">
      <c r="A21" s="3" t="n">
        <v>10</v>
      </c>
      <c r="B21" s="4" t="inlineStr">
        <is>
          <t>Ghi chú</t>
        </is>
      </c>
      <c r="C21" s="9" t="inlineStr">
        <is>
          <t>memo</t>
        </is>
      </c>
      <c r="D21" s="9" t="inlineStr">
        <is>
          <t>text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Ngày tạo</t>
        </is>
      </c>
      <c r="C22" s="9" t="inlineStr">
        <is>
          <t>created</t>
        </is>
      </c>
      <c r="D22" s="9" t="inlineStr">
        <is>
          <t>datetime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ID người tạo</t>
        </is>
      </c>
      <c r="C23" s="9" t="inlineStr">
        <is>
          <t>created_user_id</t>
        </is>
      </c>
      <c r="D23" s="9" t="inlineStr">
        <is>
          <t>int(11)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Ngày cập nhật</t>
        </is>
      </c>
      <c r="C24" s="9" t="inlineStr">
        <is>
          <t>modified</t>
        </is>
      </c>
      <c r="D24" s="9" t="inlineStr">
        <is>
          <t>datetime</t>
        </is>
      </c>
      <c r="E24" s="4" t="inlineStr"/>
      <c r="F24" s="4" t="inlineStr"/>
      <c r="G24" s="4" t="inlineStr"/>
    </row>
    <row r="25" ht="18" customHeight="1">
      <c r="A25" s="3" t="n">
        <v>14</v>
      </c>
      <c r="B25" s="4" t="inlineStr">
        <is>
          <t>ID người cập nhật</t>
        </is>
      </c>
      <c r="C25" s="9" t="inlineStr">
        <is>
          <t>modified_user_id</t>
        </is>
      </c>
      <c r="D25" s="9" t="inlineStr">
        <is>
          <t>int(11)</t>
        </is>
      </c>
      <c r="E25" s="4" t="inlineStr"/>
      <c r="F25" s="4" t="inlineStr"/>
      <c r="G25" s="4" t="inlineStr"/>
    </row>
    <row r="26" ht="18" customHeight="1">
      <c r="A26" s="3" t="n">
        <v>15</v>
      </c>
      <c r="B26" s="4" t="inlineStr">
        <is>
          <t>Ngày xóa</t>
        </is>
      </c>
      <c r="C26" s="9" t="inlineStr">
        <is>
          <t>deleted</t>
        </is>
      </c>
      <c r="D26" s="9" t="inlineStr">
        <is>
          <t>datetime</t>
        </is>
      </c>
      <c r="E26" s="4" t="inlineStr"/>
      <c r="F26" s="4" t="inlineStr"/>
      <c r="G26" s="4" t="inlineStr"/>
    </row>
    <row r="27" ht="18" customHeight="1">
      <c r="A27" s="3" t="n">
        <v>16</v>
      </c>
      <c r="B27" s="4" t="inlineStr">
        <is>
          <t>Cờ đã xóa</t>
        </is>
      </c>
      <c r="C27" s="9" t="inlineStr">
        <is>
          <t>deleted_flag</t>
        </is>
      </c>
      <c r="D27" s="9" t="inlineStr">
        <is>
          <t>tinyint(1)</t>
        </is>
      </c>
      <c r="E27" s="4" t="inlineStr"/>
      <c r="F27" s="4" t="inlineStr">
        <is>
          <t>0</t>
        </is>
      </c>
      <c r="G27" s="4" t="inlineStr"/>
    </row>
    <row r="29">
      <c r="A29" s="8" t="inlineStr">
        <is>
          <t>THÔNG TIN INDEX</t>
        </is>
      </c>
    </row>
    <row r="30">
      <c r="A30" s="2" t="inlineStr">
        <is>
          <t>No</t>
        </is>
      </c>
      <c r="B30" s="2" t="inlineStr">
        <is>
          <t>Tên index</t>
        </is>
      </c>
      <c r="C30" s="2" t="inlineStr">
        <is>
          <t>Danh sách cột</t>
        </is>
      </c>
      <c r="D30" s="2" t="inlineStr"/>
      <c r="E30" s="2" t="inlineStr">
        <is>
          <t>Khóa chính</t>
        </is>
      </c>
      <c r="F30" s="2" t="inlineStr">
        <is>
          <t>Unique</t>
        </is>
      </c>
      <c r="G30" s="2" t="inlineStr">
        <is>
          <t>Ghi chú</t>
        </is>
      </c>
    </row>
    <row r="31">
      <c r="A31" s="10" t="n">
        <v>1</v>
      </c>
      <c r="B31" s="10" t="inlineStr">
        <is>
          <t>PRIMARY</t>
        </is>
      </c>
      <c r="C31" s="10" t="inlineStr">
        <is>
          <t>id</t>
        </is>
      </c>
      <c r="D31" s="10" t="inlineStr"/>
      <c r="E31" s="10" t="inlineStr">
        <is>
          <t>Yes</t>
        </is>
      </c>
      <c r="F31" s="10" t="inlineStr">
        <is>
          <t>Yes</t>
        </is>
      </c>
      <c r="G31" s="10" t="inlineStr"/>
    </row>
    <row r="33">
      <c r="A33" s="8" t="inlineStr">
        <is>
          <t>THÔNG TIN KHÓA NGOẠI</t>
        </is>
      </c>
    </row>
    <row r="34">
      <c r="A34" s="2" t="inlineStr">
        <is>
          <t>No</t>
        </is>
      </c>
      <c r="B34" s="2" t="inlineStr">
        <is>
          <t>Tên FK</t>
        </is>
      </c>
      <c r="C34" s="2" t="inlineStr">
        <is>
          <t>Cột</t>
        </is>
      </c>
      <c r="D34" s="2" t="inlineStr"/>
      <c r="E34" s="2" t="inlineStr">
        <is>
          <t>Bảng tham chiếu</t>
        </is>
      </c>
      <c r="F34" s="2" t="inlineStr"/>
      <c r="G34" s="2" t="inlineStr">
        <is>
          <t>Cột tham chiếu</t>
        </is>
      </c>
    </row>
    <row r="35">
      <c r="A35" s="3" t="n">
        <v>1</v>
      </c>
      <c r="B35" s="4" t="inlineStr">
        <is>
          <t>fk_impd_order</t>
        </is>
      </c>
      <c r="C35" s="4" t="inlineStr">
        <is>
          <t>order_id</t>
        </is>
      </c>
      <c r="D35" s="4" t="inlineStr"/>
      <c r="E35" s="4" t="inlineStr">
        <is>
          <t>orders</t>
        </is>
      </c>
      <c r="F35" s="4" t="inlineStr"/>
      <c r="G35" s="4" t="inlineStr">
        <is>
          <t>id</t>
        </is>
      </c>
    </row>
  </sheetData>
  <mergeCells count="29">
    <mergeCell ref="D4"/>
    <mergeCell ref="A4"/>
    <mergeCell ref="D3"/>
    <mergeCell ref="B7:C7"/>
    <mergeCell ref="B3:C3"/>
    <mergeCell ref="E5:F5"/>
    <mergeCell ref="A29:G29"/>
    <mergeCell ref="D5"/>
    <mergeCell ref="A10:G10"/>
    <mergeCell ref="E4:F4"/>
    <mergeCell ref="B2:C2"/>
    <mergeCell ref="A9:G9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"/>
    <mergeCell ref="E3:F3"/>
    <mergeCell ref="A33:G33"/>
    <mergeCell ref="B4:C4"/>
    <mergeCell ref="A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Mẫu email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mail_templates</t>
        </is>
      </c>
      <c r="D6" s="7" t="inlineStr"/>
      <c r="E6" s="4" t="inlineStr"/>
    </row>
    <row r="7">
      <c r="A7" s="7" t="inlineStr">
        <is>
          <t>Ghi chú</t>
        </is>
      </c>
      <c r="B7" s="4" t="inlineStr"/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Loại email</t>
        </is>
      </c>
      <c r="C13" s="9" t="inlineStr">
        <is>
          <t>mail_type</t>
        </is>
      </c>
      <c r="D13" s="9" t="inlineStr">
        <is>
          <t>varchar(50)</t>
        </is>
      </c>
      <c r="E13" s="4" t="inlineStr">
        <is>
          <t>Yes</t>
        </is>
      </c>
      <c r="F13" s="4" t="inlineStr"/>
      <c r="G13" s="4" t="inlineStr"/>
    </row>
    <row r="14" ht="18" customHeight="1">
      <c r="A14" s="3" t="n">
        <v>3</v>
      </c>
      <c r="B14" s="4" t="inlineStr">
        <is>
          <t>Tiêu đề email</t>
        </is>
      </c>
      <c r="C14" s="9" t="inlineStr">
        <is>
          <t>subject</t>
        </is>
      </c>
      <c r="D14" s="9" t="inlineStr">
        <is>
          <t>varchar(255)</t>
        </is>
      </c>
      <c r="E14" s="4" t="inlineStr">
        <is>
          <t>Yes</t>
        </is>
      </c>
      <c r="F14" s="4" t="inlineStr"/>
      <c r="G14" s="4" t="inlineStr"/>
    </row>
    <row r="15" ht="18" customHeight="1">
      <c r="A15" s="3" t="n">
        <v>4</v>
      </c>
      <c r="B15" s="4" t="inlineStr">
        <is>
          <t>Nội dung email</t>
        </is>
      </c>
      <c r="C15" s="9" t="inlineStr">
        <is>
          <t>body</t>
        </is>
      </c>
      <c r="D15" s="9" t="inlineStr">
        <is>
          <t>text</t>
        </is>
      </c>
      <c r="E15" s="4" t="inlineStr">
        <is>
          <t>Yes</t>
        </is>
      </c>
      <c r="F15" s="4" t="inlineStr"/>
      <c r="G15" s="4" t="inlineStr">
        <is>
          <t>Hỗ trợ {biến}</t>
        </is>
      </c>
    </row>
    <row r="16" ht="18" customHeight="1">
      <c r="A16" s="3" t="n">
        <v>5</v>
      </c>
      <c r="B16" s="4" t="inlineStr">
        <is>
          <t>Cờ vô hiệu hóa</t>
        </is>
      </c>
      <c r="C16" s="9" t="inlineStr">
        <is>
          <t>disabled_flag</t>
        </is>
      </c>
      <c r="D16" s="9" t="inlineStr">
        <is>
          <t>tinyint(1)</t>
        </is>
      </c>
      <c r="E16" s="4" t="inlineStr"/>
      <c r="F16" s="4" t="inlineStr">
        <is>
          <t>0</t>
        </is>
      </c>
      <c r="G16" s="4" t="inlineStr"/>
    </row>
    <row r="17" ht="18" customHeight="1">
      <c r="A17" s="3" t="n">
        <v>6</v>
      </c>
      <c r="B17" s="4" t="inlineStr">
        <is>
          <t>Ngày tạo</t>
        </is>
      </c>
      <c r="C17" s="9" t="inlineStr">
        <is>
          <t>created</t>
        </is>
      </c>
      <c r="D17" s="9" t="inlineStr">
        <is>
          <t>datetime</t>
        </is>
      </c>
      <c r="E17" s="4" t="inlineStr"/>
      <c r="F17" s="4" t="inlineStr"/>
      <c r="G17" s="4" t="inlineStr"/>
    </row>
    <row r="18" ht="18" customHeight="1">
      <c r="A18" s="3" t="n">
        <v>7</v>
      </c>
      <c r="B18" s="4" t="inlineStr">
        <is>
          <t>ID người tạo</t>
        </is>
      </c>
      <c r="C18" s="9" t="inlineStr">
        <is>
          <t>created_user_id</t>
        </is>
      </c>
      <c r="D18" s="9" t="inlineStr">
        <is>
          <t>int(11)</t>
        </is>
      </c>
      <c r="E18" s="4" t="inlineStr"/>
      <c r="F18" s="4" t="inlineStr"/>
      <c r="G18" s="4" t="inlineStr"/>
    </row>
    <row r="19" ht="18" customHeight="1">
      <c r="A19" s="3" t="n">
        <v>8</v>
      </c>
      <c r="B19" s="4" t="inlineStr">
        <is>
          <t>Ngày cập nhật</t>
        </is>
      </c>
      <c r="C19" s="9" t="inlineStr">
        <is>
          <t>modified</t>
        </is>
      </c>
      <c r="D19" s="9" t="inlineStr">
        <is>
          <t>datetime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ID người cập nhật</t>
        </is>
      </c>
      <c r="C20" s="9" t="inlineStr">
        <is>
          <t>modified_user_id</t>
        </is>
      </c>
      <c r="D20" s="9" t="inlineStr">
        <is>
          <t>int(11)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Ngày xóa</t>
        </is>
      </c>
      <c r="C21" s="9" t="inlineStr">
        <is>
          <t>deleted</t>
        </is>
      </c>
      <c r="D21" s="9" t="inlineStr">
        <is>
          <t>datetime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Cờ đã xóa</t>
        </is>
      </c>
      <c r="C22" s="9" t="inlineStr">
        <is>
          <t>deleted_flag</t>
        </is>
      </c>
      <c r="D22" s="9" t="inlineStr">
        <is>
          <t>tinyint(1)</t>
        </is>
      </c>
      <c r="E22" s="4" t="inlineStr"/>
      <c r="F22" s="4" t="inlineStr">
        <is>
          <t>0</t>
        </is>
      </c>
      <c r="G22" s="4" t="inlineStr"/>
    </row>
    <row r="24">
      <c r="A24" s="8" t="inlineStr">
        <is>
          <t>THÔNG TIN INDEX</t>
        </is>
      </c>
    </row>
    <row r="25">
      <c r="A25" s="2" t="inlineStr">
        <is>
          <t>No</t>
        </is>
      </c>
      <c r="B25" s="2" t="inlineStr">
        <is>
          <t>Tên index</t>
        </is>
      </c>
      <c r="C25" s="2" t="inlineStr">
        <is>
          <t>Danh sách cột</t>
        </is>
      </c>
      <c r="D25" s="2" t="inlineStr"/>
      <c r="E25" s="2" t="inlineStr">
        <is>
          <t>Khóa chính</t>
        </is>
      </c>
      <c r="F25" s="2" t="inlineStr">
        <is>
          <t>Unique</t>
        </is>
      </c>
      <c r="G25" s="2" t="inlineStr">
        <is>
          <t>Ghi chú</t>
        </is>
      </c>
    </row>
    <row r="26">
      <c r="A26" s="10" t="n">
        <v>1</v>
      </c>
      <c r="B26" s="10" t="inlineStr">
        <is>
          <t>PRIMARY</t>
        </is>
      </c>
      <c r="C26" s="10" t="inlineStr">
        <is>
          <t>id</t>
        </is>
      </c>
      <c r="D26" s="10" t="inlineStr"/>
      <c r="E26" s="10" t="inlineStr">
        <is>
          <t>Yes</t>
        </is>
      </c>
      <c r="F26" s="10" t="inlineStr">
        <is>
          <t>Yes</t>
        </is>
      </c>
      <c r="G26" s="10" t="inlineStr"/>
    </row>
    <row r="28">
      <c r="A28" s="8" t="inlineStr">
        <is>
          <t>THÔNG TIN KHÓA NGOẠI</t>
        </is>
      </c>
    </row>
    <row r="29">
      <c r="A29" s="2" t="inlineStr">
        <is>
          <t>No</t>
        </is>
      </c>
      <c r="B29" s="2" t="inlineStr">
        <is>
          <t>Tên FK</t>
        </is>
      </c>
      <c r="C29" s="2" t="inlineStr">
        <is>
          <t>Cột</t>
        </is>
      </c>
      <c r="D29" s="2" t="inlineStr"/>
      <c r="E29" s="2" t="inlineStr">
        <is>
          <t>Bảng tham chiếu</t>
        </is>
      </c>
      <c r="F29" s="2" t="inlineStr"/>
      <c r="G29" s="2" t="inlineStr">
        <is>
          <t>Cột tham chiếu</t>
        </is>
      </c>
    </row>
  </sheetData>
  <mergeCells count="29">
    <mergeCell ref="D4"/>
    <mergeCell ref="A4"/>
    <mergeCell ref="D3"/>
    <mergeCell ref="B7:C7"/>
    <mergeCell ref="B3:C3"/>
    <mergeCell ref="E5:F5"/>
    <mergeCell ref="D5"/>
    <mergeCell ref="A10:G10"/>
    <mergeCell ref="A28:G28"/>
    <mergeCell ref="E4:F4"/>
    <mergeCell ref="B2:C2"/>
    <mergeCell ref="A9:G9"/>
    <mergeCell ref="A24:G24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"/>
    <mergeCell ref="E3:F3"/>
    <mergeCell ref="B4:C4"/>
    <mergeCell ref="A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0" customWidth="1" min="4" max="4"/>
    <col width="10" customWidth="1" min="5" max="5"/>
    <col width="12" customWidth="1" min="6" max="6"/>
    <col width="35" customWidth="1" min="7" max="7"/>
  </cols>
  <sheetData>
    <row r="1" ht="25" customHeight="1">
      <c r="A1" s="6" t="inlineStr">
        <is>
          <t>THÔNG TIN BẢNG</t>
        </is>
      </c>
    </row>
    <row r="2">
      <c r="A2" s="7" t="inlineStr">
        <is>
          <t>Tên hệ thống</t>
        </is>
      </c>
      <c r="B2" s="4" t="inlineStr">
        <is>
          <t>Hệ thống quản lý hàng hóa Nhật-Việt</t>
        </is>
      </c>
      <c r="D2" s="7" t="inlineStr">
        <is>
          <t>Tác giả</t>
        </is>
      </c>
      <c r="E2" s="4" t="inlineStr">
        <is>
          <t>BIT Corp.</t>
        </is>
      </c>
    </row>
    <row r="3">
      <c r="A3" s="7" t="inlineStr">
        <is>
          <t>Tên tiểu hệ thống</t>
        </is>
      </c>
      <c r="B3" s="4" t="inlineStr"/>
      <c r="D3" s="7" t="inlineStr">
        <is>
          <t>Ngày tạo</t>
        </is>
      </c>
      <c r="E3" s="4" t="inlineStr">
        <is>
          <t>2026-06-07</t>
        </is>
      </c>
    </row>
    <row r="4">
      <c r="A4" s="7" t="inlineStr">
        <is>
          <t>Schema</t>
        </is>
      </c>
      <c r="B4" s="4" t="inlineStr"/>
      <c r="D4" s="7" t="inlineStr">
        <is>
          <t>Ngày cập nhật</t>
        </is>
      </c>
      <c r="E4" s="4" t="inlineStr"/>
    </row>
    <row r="5">
      <c r="A5" s="7" t="inlineStr">
        <is>
          <t>Tên bảng (VN)</t>
        </is>
      </c>
      <c r="B5" s="5" t="inlineStr">
        <is>
          <t>Lịch sử gửi email</t>
        </is>
      </c>
      <c r="D5" s="7" t="inlineStr">
        <is>
          <t>RDBMS</t>
        </is>
      </c>
      <c r="E5" s="4" t="inlineStr">
        <is>
          <t>MySQL 8.0</t>
        </is>
      </c>
    </row>
    <row r="6">
      <c r="A6" s="7" t="inlineStr">
        <is>
          <t>Tên bảng vật lý</t>
        </is>
      </c>
      <c r="B6" s="4" t="inlineStr">
        <is>
          <t>mail_histories</t>
        </is>
      </c>
      <c r="D6" s="7" t="inlineStr"/>
      <c r="E6" s="4" t="inlineStr"/>
    </row>
    <row r="7">
      <c r="A7" s="7" t="inlineStr">
        <is>
          <t>Ghi chú</t>
        </is>
      </c>
      <c r="B7" s="4" t="inlineStr"/>
      <c r="D7" s="7" t="inlineStr"/>
      <c r="E7" s="4" t="inlineStr"/>
    </row>
    <row r="9" ht="8" customHeight="1"/>
    <row r="10">
      <c r="A10" s="8" t="inlineStr">
        <is>
          <t>THÔNG TIN CỘT</t>
        </is>
      </c>
    </row>
    <row r="11" ht="20" customHeight="1">
      <c r="A11" s="2" t="inlineStr">
        <is>
          <t>No</t>
        </is>
      </c>
      <c r="B11" s="2" t="inlineStr">
        <is>
          <t>Tên cột (VN)</t>
        </is>
      </c>
      <c r="C11" s="2" t="inlineStr">
        <is>
          <t>Tên cột vật lý</t>
        </is>
      </c>
      <c r="D11" s="2" t="inlineStr">
        <is>
          <t>Kiểu dữ liệu</t>
        </is>
      </c>
      <c r="E11" s="2" t="inlineStr">
        <is>
          <t>Not Null</t>
        </is>
      </c>
      <c r="F11" s="2" t="inlineStr">
        <is>
          <t>Mặc định</t>
        </is>
      </c>
      <c r="G11" s="2" t="inlineStr">
        <is>
          <t>Ghi chú</t>
        </is>
      </c>
    </row>
    <row r="12" ht="18" customHeight="1">
      <c r="A12" s="3" t="n">
        <v>1</v>
      </c>
      <c r="B12" s="4" t="inlineStr">
        <is>
          <t>ID tự tăng</t>
        </is>
      </c>
      <c r="C12" s="9" t="inlineStr">
        <is>
          <t>id</t>
        </is>
      </c>
      <c r="D12" s="9" t="inlineStr">
        <is>
          <t>int(11) unsigned auto_increment</t>
        </is>
      </c>
      <c r="E12" s="4" t="inlineStr">
        <is>
          <t>Yes</t>
        </is>
      </c>
      <c r="F12" s="4" t="inlineStr"/>
      <c r="G12" s="4" t="inlineStr"/>
    </row>
    <row r="13" ht="18" customHeight="1">
      <c r="A13" s="3" t="n">
        <v>2</v>
      </c>
      <c r="B13" s="4" t="inlineStr">
        <is>
          <t>ID mẫu email</t>
        </is>
      </c>
      <c r="C13" s="9" t="inlineStr">
        <is>
          <t>mail_template_id</t>
        </is>
      </c>
      <c r="D13" s="9" t="inlineStr">
        <is>
          <t>int(11)</t>
        </is>
      </c>
      <c r="E13" s="4" t="inlineStr"/>
      <c r="F13" s="4" t="inlineStr"/>
      <c r="G13" s="4">
        <f>mail_templates.id</f>
        <v/>
      </c>
    </row>
    <row r="14" ht="18" customHeight="1">
      <c r="A14" s="3" t="n">
        <v>3</v>
      </c>
      <c r="B14" s="4" t="inlineStr">
        <is>
          <t>Địa chỉ gửi đến</t>
        </is>
      </c>
      <c r="C14" s="9" t="inlineStr">
        <is>
          <t>to_address</t>
        </is>
      </c>
      <c r="D14" s="9" t="inlineStr">
        <is>
          <t>text</t>
        </is>
      </c>
      <c r="E14" s="4" t="inlineStr">
        <is>
          <t>Yes</t>
        </is>
      </c>
      <c r="F14" s="4" t="inlineStr"/>
      <c r="G14" s="4" t="inlineStr"/>
    </row>
    <row r="15" ht="18" customHeight="1">
      <c r="A15" s="3" t="n">
        <v>4</v>
      </c>
      <c r="B15" s="4" t="inlineStr">
        <is>
          <t>CC</t>
        </is>
      </c>
      <c r="C15" s="9" t="inlineStr">
        <is>
          <t>cc_address</t>
        </is>
      </c>
      <c r="D15" s="9" t="inlineStr">
        <is>
          <t>text</t>
        </is>
      </c>
      <c r="E15" s="4" t="inlineStr"/>
      <c r="F15" s="4" t="inlineStr"/>
      <c r="G15" s="4" t="inlineStr"/>
    </row>
    <row r="16" ht="18" customHeight="1">
      <c r="A16" s="3" t="n">
        <v>5</v>
      </c>
      <c r="B16" s="4" t="inlineStr">
        <is>
          <t>Tiêu đề</t>
        </is>
      </c>
      <c r="C16" s="9" t="inlineStr">
        <is>
          <t>subject</t>
        </is>
      </c>
      <c r="D16" s="9" t="inlineStr">
        <is>
          <t>varchar(255)</t>
        </is>
      </c>
      <c r="E16" s="4" t="inlineStr">
        <is>
          <t>Yes</t>
        </is>
      </c>
      <c r="F16" s="4" t="inlineStr"/>
      <c r="G16" s="4" t="inlineStr"/>
    </row>
    <row r="17" ht="18" customHeight="1">
      <c r="A17" s="3" t="n">
        <v>6</v>
      </c>
      <c r="B17" s="4" t="inlineStr">
        <is>
          <t>Nội dung</t>
        </is>
      </c>
      <c r="C17" s="9" t="inlineStr">
        <is>
          <t>body</t>
        </is>
      </c>
      <c r="D17" s="9" t="inlineStr">
        <is>
          <t>text</t>
        </is>
      </c>
      <c r="E17" s="4" t="inlineStr">
        <is>
          <t>Yes</t>
        </is>
      </c>
      <c r="F17" s="4" t="inlineStr"/>
      <c r="G17" s="4" t="inlineStr"/>
    </row>
    <row r="18" ht="18" customHeight="1">
      <c r="A18" s="3" t="n">
        <v>7</v>
      </c>
      <c r="B18" s="4" t="inlineStr">
        <is>
          <t>Trạng thái gửi</t>
        </is>
      </c>
      <c r="C18" s="9" t="inlineStr">
        <is>
          <t>send_status</t>
        </is>
      </c>
      <c r="D18" s="9" t="inlineStr">
        <is>
          <t>tinyint(1)</t>
        </is>
      </c>
      <c r="E18" s="4" t="inlineStr"/>
      <c r="F18" s="4" t="inlineStr">
        <is>
          <t>0</t>
        </is>
      </c>
      <c r="G18" s="4" t="inlineStr">
        <is>
          <t>0:Chờ 1:Đã gửi 2:Lỗi</t>
        </is>
      </c>
    </row>
    <row r="19" ht="18" customHeight="1">
      <c r="A19" s="3" t="n">
        <v>8</v>
      </c>
      <c r="B19" s="4" t="inlineStr">
        <is>
          <t>Ngày gửi</t>
        </is>
      </c>
      <c r="C19" s="9" t="inlineStr">
        <is>
          <t>sent_at</t>
        </is>
      </c>
      <c r="D19" s="9" t="inlineStr">
        <is>
          <t>datetime</t>
        </is>
      </c>
      <c r="E19" s="4" t="inlineStr"/>
      <c r="F19" s="4" t="inlineStr"/>
      <c r="G19" s="4" t="inlineStr"/>
    </row>
    <row r="20" ht="18" customHeight="1">
      <c r="A20" s="3" t="n">
        <v>9</v>
      </c>
      <c r="B20" s="4" t="inlineStr">
        <is>
          <t>Lỗi (nếu có)</t>
        </is>
      </c>
      <c r="C20" s="9" t="inlineStr">
        <is>
          <t>error_message</t>
        </is>
      </c>
      <c r="D20" s="9" t="inlineStr">
        <is>
          <t>text</t>
        </is>
      </c>
      <c r="E20" s="4" t="inlineStr"/>
      <c r="F20" s="4" t="inlineStr"/>
      <c r="G20" s="4" t="inlineStr"/>
    </row>
    <row r="21" ht="18" customHeight="1">
      <c r="A21" s="3" t="n">
        <v>10</v>
      </c>
      <c r="B21" s="4" t="inlineStr">
        <is>
          <t>Ngày tạo</t>
        </is>
      </c>
      <c r="C21" s="9" t="inlineStr">
        <is>
          <t>created</t>
        </is>
      </c>
      <c r="D21" s="9" t="inlineStr">
        <is>
          <t>datetime</t>
        </is>
      </c>
      <c r="E21" s="4" t="inlineStr"/>
      <c r="F21" s="4" t="inlineStr"/>
      <c r="G21" s="4" t="inlineStr"/>
    </row>
    <row r="22" ht="18" customHeight="1">
      <c r="A22" s="3" t="n">
        <v>11</v>
      </c>
      <c r="B22" s="4" t="inlineStr">
        <is>
          <t>ID người tạo</t>
        </is>
      </c>
      <c r="C22" s="9" t="inlineStr">
        <is>
          <t>created_user_id</t>
        </is>
      </c>
      <c r="D22" s="9" t="inlineStr">
        <is>
          <t>int(11)</t>
        </is>
      </c>
      <c r="E22" s="4" t="inlineStr"/>
      <c r="F22" s="4" t="inlineStr"/>
      <c r="G22" s="4" t="inlineStr"/>
    </row>
    <row r="23" ht="18" customHeight="1">
      <c r="A23" s="3" t="n">
        <v>12</v>
      </c>
      <c r="B23" s="4" t="inlineStr">
        <is>
          <t>Ngày cập nhật</t>
        </is>
      </c>
      <c r="C23" s="9" t="inlineStr">
        <is>
          <t>modified</t>
        </is>
      </c>
      <c r="D23" s="9" t="inlineStr">
        <is>
          <t>datetime</t>
        </is>
      </c>
      <c r="E23" s="4" t="inlineStr"/>
      <c r="F23" s="4" t="inlineStr"/>
      <c r="G23" s="4" t="inlineStr"/>
    </row>
    <row r="24" ht="18" customHeight="1">
      <c r="A24" s="3" t="n">
        <v>13</v>
      </c>
      <c r="B24" s="4" t="inlineStr">
        <is>
          <t>ID người cập nhật</t>
        </is>
      </c>
      <c r="C24" s="9" t="inlineStr">
        <is>
          <t>modified_user_id</t>
        </is>
      </c>
      <c r="D24" s="9" t="inlineStr">
        <is>
          <t>int(11)</t>
        </is>
      </c>
      <c r="E24" s="4" t="inlineStr"/>
      <c r="F24" s="4" t="inlineStr"/>
      <c r="G24" s="4" t="inlineStr"/>
    </row>
    <row r="25" ht="18" customHeight="1">
      <c r="A25" s="3" t="n">
        <v>14</v>
      </c>
      <c r="B25" s="4" t="inlineStr">
        <is>
          <t>Ngày xóa</t>
        </is>
      </c>
      <c r="C25" s="9" t="inlineStr">
        <is>
          <t>deleted</t>
        </is>
      </c>
      <c r="D25" s="9" t="inlineStr">
        <is>
          <t>datetime</t>
        </is>
      </c>
      <c r="E25" s="4" t="inlineStr"/>
      <c r="F25" s="4" t="inlineStr"/>
      <c r="G25" s="4" t="inlineStr"/>
    </row>
    <row r="26" ht="18" customHeight="1">
      <c r="A26" s="3" t="n">
        <v>15</v>
      </c>
      <c r="B26" s="4" t="inlineStr">
        <is>
          <t>Cờ đã xóa</t>
        </is>
      </c>
      <c r="C26" s="9" t="inlineStr">
        <is>
          <t>deleted_flag</t>
        </is>
      </c>
      <c r="D26" s="9" t="inlineStr">
        <is>
          <t>tinyint(1)</t>
        </is>
      </c>
      <c r="E26" s="4" t="inlineStr"/>
      <c r="F26" s="4" t="inlineStr">
        <is>
          <t>0</t>
        </is>
      </c>
      <c r="G26" s="4" t="inlineStr"/>
    </row>
    <row r="28">
      <c r="A28" s="8" t="inlineStr">
        <is>
          <t>THÔNG TIN INDEX</t>
        </is>
      </c>
    </row>
    <row r="29">
      <c r="A29" s="2" t="inlineStr">
        <is>
          <t>No</t>
        </is>
      </c>
      <c r="B29" s="2" t="inlineStr">
        <is>
          <t>Tên index</t>
        </is>
      </c>
      <c r="C29" s="2" t="inlineStr">
        <is>
          <t>Danh sách cột</t>
        </is>
      </c>
      <c r="D29" s="2" t="inlineStr"/>
      <c r="E29" s="2" t="inlineStr">
        <is>
          <t>Khóa chính</t>
        </is>
      </c>
      <c r="F29" s="2" t="inlineStr">
        <is>
          <t>Unique</t>
        </is>
      </c>
      <c r="G29" s="2" t="inlineStr">
        <is>
          <t>Ghi chú</t>
        </is>
      </c>
    </row>
    <row r="30">
      <c r="A30" s="10" t="n">
        <v>1</v>
      </c>
      <c r="B30" s="10" t="inlineStr">
        <is>
          <t>PRIMARY</t>
        </is>
      </c>
      <c r="C30" s="10" t="inlineStr">
        <is>
          <t>id</t>
        </is>
      </c>
      <c r="D30" s="10" t="inlineStr"/>
      <c r="E30" s="10" t="inlineStr">
        <is>
          <t>Yes</t>
        </is>
      </c>
      <c r="F30" s="10" t="inlineStr">
        <is>
          <t>Yes</t>
        </is>
      </c>
      <c r="G30" s="10" t="inlineStr"/>
    </row>
    <row r="32">
      <c r="A32" s="8" t="inlineStr">
        <is>
          <t>THÔNG TIN KHÓA NGOẠI</t>
        </is>
      </c>
    </row>
    <row r="33">
      <c r="A33" s="2" t="inlineStr">
        <is>
          <t>No</t>
        </is>
      </c>
      <c r="B33" s="2" t="inlineStr">
        <is>
          <t>Tên FK</t>
        </is>
      </c>
      <c r="C33" s="2" t="inlineStr">
        <is>
          <t>Cột</t>
        </is>
      </c>
      <c r="D33" s="2" t="inlineStr"/>
      <c r="E33" s="2" t="inlineStr">
        <is>
          <t>Bảng tham chiếu</t>
        </is>
      </c>
      <c r="F33" s="2" t="inlineStr"/>
      <c r="G33" s="2" t="inlineStr">
        <is>
          <t>Cột tham chiếu</t>
        </is>
      </c>
    </row>
  </sheetData>
  <mergeCells count="29">
    <mergeCell ref="A32:G32"/>
    <mergeCell ref="D4"/>
    <mergeCell ref="A4"/>
    <mergeCell ref="D3"/>
    <mergeCell ref="B7:C7"/>
    <mergeCell ref="B3:C3"/>
    <mergeCell ref="E5:F5"/>
    <mergeCell ref="D5"/>
    <mergeCell ref="A10:G10"/>
    <mergeCell ref="A28:G28"/>
    <mergeCell ref="E4:F4"/>
    <mergeCell ref="B2:C2"/>
    <mergeCell ref="A9:G9"/>
    <mergeCell ref="A6"/>
    <mergeCell ref="E6:F6"/>
    <mergeCell ref="A1:G1"/>
    <mergeCell ref="E2:F2"/>
    <mergeCell ref="A7"/>
    <mergeCell ref="D6"/>
    <mergeCell ref="D2"/>
    <mergeCell ref="B6:C6"/>
    <mergeCell ref="A3"/>
    <mergeCell ref="E7:F7"/>
    <mergeCell ref="B5:C5"/>
    <mergeCell ref="D7"/>
    <mergeCell ref="A2"/>
    <mergeCell ref="E3:F3"/>
    <mergeCell ref="B4:C4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2026-06-07T04:22:43Z</dcterms:created>
  <dcterms:modified xmlns:dcterms="http://purl.org/dc/terms/" xmlns:xsi="http://www.w3.org/2001/XMLSchema-instance" xsi:type="dcterms:W3CDTF">2026-06-07T04:22:43Z</dcterms:modified>
</cp:coreProperties>
</file>